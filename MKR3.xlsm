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учеба\МСС\"/>
    </mc:Choice>
  </mc:AlternateContent>
  <bookViews>
    <workbookView xWindow="0" yWindow="0" windowWidth="19200" windowHeight="11595"/>
  </bookViews>
  <sheets>
    <sheet name="Лист1" sheetId="1" r:id="rId1"/>
    <sheet name="Лист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2" l="1"/>
  <c r="N11" i="2"/>
  <c r="CK116" i="1"/>
  <c r="CK117" i="1"/>
  <c r="CK118" i="1"/>
  <c r="CK119" i="1"/>
  <c r="CK120" i="1"/>
  <c r="CK121" i="1"/>
  <c r="CK122" i="1"/>
  <c r="CK123" i="1"/>
  <c r="CK124" i="1"/>
  <c r="CK125" i="1"/>
  <c r="CK12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86" i="1"/>
  <c r="CK74" i="1"/>
  <c r="CK75" i="1"/>
  <c r="CK76" i="1"/>
  <c r="CK77" i="1"/>
  <c r="CK78" i="1"/>
  <c r="CK79" i="1"/>
  <c r="CK80" i="1"/>
  <c r="CK81" i="1"/>
  <c r="CK82" i="1"/>
  <c r="CK83" i="1"/>
  <c r="CK8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BL60" i="1"/>
  <c r="BM60" i="1"/>
  <c r="BN60" i="1"/>
  <c r="BO60" i="1"/>
  <c r="BP60" i="1"/>
  <c r="BQ60" i="1"/>
  <c r="BR60" i="1"/>
  <c r="BS60" i="1"/>
  <c r="BT60" i="1"/>
  <c r="BU60" i="1"/>
  <c r="BV60" i="1"/>
  <c r="BL61" i="1"/>
  <c r="BM61" i="1"/>
  <c r="BN61" i="1"/>
  <c r="BO61" i="1"/>
  <c r="BP61" i="1"/>
  <c r="BQ61" i="1"/>
  <c r="BR61" i="1"/>
  <c r="BS61" i="1"/>
  <c r="BT61" i="1"/>
  <c r="BU61" i="1"/>
  <c r="BV61" i="1"/>
  <c r="BL62" i="1"/>
  <c r="BM62" i="1"/>
  <c r="BN62" i="1"/>
  <c r="BO62" i="1"/>
  <c r="BP62" i="1"/>
  <c r="BQ62" i="1"/>
  <c r="BR62" i="1"/>
  <c r="BS62" i="1"/>
  <c r="BT62" i="1"/>
  <c r="BU62" i="1"/>
  <c r="BV62" i="1"/>
  <c r="BL63" i="1"/>
  <c r="BM63" i="1"/>
  <c r="BN63" i="1"/>
  <c r="BO63" i="1"/>
  <c r="BP63" i="1"/>
  <c r="BQ63" i="1"/>
  <c r="BR63" i="1"/>
  <c r="BS63" i="1"/>
  <c r="BT63" i="1"/>
  <c r="BU63" i="1"/>
  <c r="BV63" i="1"/>
  <c r="BL64" i="1"/>
  <c r="BM64" i="1"/>
  <c r="BN64" i="1"/>
  <c r="BO64" i="1"/>
  <c r="BP64" i="1"/>
  <c r="BQ64" i="1"/>
  <c r="BR64" i="1"/>
  <c r="BS64" i="1"/>
  <c r="BT64" i="1"/>
  <c r="BU64" i="1"/>
  <c r="BV64" i="1"/>
  <c r="BL65" i="1"/>
  <c r="BM65" i="1"/>
  <c r="BN65" i="1"/>
  <c r="BO65" i="1"/>
  <c r="BP65" i="1"/>
  <c r="BQ65" i="1"/>
  <c r="BR65" i="1"/>
  <c r="BS65" i="1"/>
  <c r="BT65" i="1"/>
  <c r="BU65" i="1"/>
  <c r="BV65" i="1"/>
  <c r="BL66" i="1"/>
  <c r="BM66" i="1"/>
  <c r="BN66" i="1"/>
  <c r="BO66" i="1"/>
  <c r="BP66" i="1"/>
  <c r="BQ66" i="1"/>
  <c r="BR66" i="1"/>
  <c r="BS66" i="1"/>
  <c r="BT66" i="1"/>
  <c r="BU66" i="1"/>
  <c r="BV66" i="1"/>
  <c r="BL67" i="1"/>
  <c r="BM67" i="1"/>
  <c r="BN67" i="1"/>
  <c r="BO67" i="1"/>
  <c r="BP67" i="1"/>
  <c r="BQ67" i="1"/>
  <c r="BR67" i="1"/>
  <c r="BS67" i="1"/>
  <c r="BT67" i="1"/>
  <c r="BU67" i="1"/>
  <c r="BV67" i="1"/>
  <c r="BL68" i="1"/>
  <c r="BM68" i="1"/>
  <c r="BN68" i="1"/>
  <c r="BO68" i="1"/>
  <c r="BP68" i="1"/>
  <c r="BQ68" i="1"/>
  <c r="BR68" i="1"/>
  <c r="BS68" i="1"/>
  <c r="BT68" i="1"/>
  <c r="BU68" i="1"/>
  <c r="BV68" i="1"/>
  <c r="BL69" i="1"/>
  <c r="BM69" i="1"/>
  <c r="BN69" i="1"/>
  <c r="BO69" i="1"/>
  <c r="BP69" i="1"/>
  <c r="BQ69" i="1"/>
  <c r="BR69" i="1"/>
  <c r="BS69" i="1"/>
  <c r="BT69" i="1"/>
  <c r="BU69" i="1"/>
  <c r="BV69" i="1"/>
  <c r="BL70" i="1"/>
  <c r="BM70" i="1"/>
  <c r="BN70" i="1"/>
  <c r="BO70" i="1"/>
  <c r="BP70" i="1"/>
  <c r="BQ70" i="1"/>
  <c r="BR70" i="1"/>
  <c r="BS70" i="1"/>
  <c r="BT70" i="1"/>
  <c r="BU70" i="1"/>
  <c r="BV70" i="1"/>
  <c r="BL71" i="1"/>
  <c r="BM71" i="1"/>
  <c r="BN71" i="1"/>
  <c r="BO71" i="1"/>
  <c r="BP71" i="1"/>
  <c r="BQ71" i="1"/>
  <c r="BR71" i="1"/>
  <c r="BS71" i="1"/>
  <c r="BT71" i="1"/>
  <c r="BU71" i="1"/>
  <c r="BV71" i="1"/>
  <c r="BL72" i="1"/>
  <c r="BM72" i="1"/>
  <c r="BN72" i="1"/>
  <c r="BO72" i="1"/>
  <c r="BP72" i="1"/>
  <c r="BQ72" i="1"/>
  <c r="BR72" i="1"/>
  <c r="BS72" i="1"/>
  <c r="BT72" i="1"/>
  <c r="BU72" i="1"/>
  <c r="BV72" i="1"/>
  <c r="BL73" i="1"/>
  <c r="BM73" i="1"/>
  <c r="BN73" i="1"/>
  <c r="BO73" i="1"/>
  <c r="BP73" i="1"/>
  <c r="BQ73" i="1"/>
  <c r="BR73" i="1"/>
  <c r="BS73" i="1"/>
  <c r="BT73" i="1"/>
  <c r="BU73" i="1"/>
  <c r="BV73" i="1"/>
  <c r="BL74" i="1"/>
  <c r="BM74" i="1"/>
  <c r="BN74" i="1"/>
  <c r="BO74" i="1"/>
  <c r="BP74" i="1"/>
  <c r="BQ74" i="1"/>
  <c r="BR74" i="1"/>
  <c r="BS74" i="1"/>
  <c r="BT74" i="1"/>
  <c r="BU74" i="1"/>
  <c r="BV74" i="1"/>
  <c r="BL75" i="1"/>
  <c r="BM75" i="1"/>
  <c r="BN75" i="1"/>
  <c r="BO75" i="1"/>
  <c r="BP75" i="1"/>
  <c r="BQ75" i="1"/>
  <c r="BR75" i="1"/>
  <c r="BS75" i="1"/>
  <c r="BT75" i="1"/>
  <c r="BU75" i="1"/>
  <c r="BV75" i="1"/>
  <c r="BL76" i="1"/>
  <c r="BM76" i="1"/>
  <c r="BN76" i="1"/>
  <c r="BO76" i="1"/>
  <c r="BP76" i="1"/>
  <c r="BQ76" i="1"/>
  <c r="BR76" i="1"/>
  <c r="BS76" i="1"/>
  <c r="BT76" i="1"/>
  <c r="BU76" i="1"/>
  <c r="BV76" i="1"/>
  <c r="BL77" i="1"/>
  <c r="BM77" i="1"/>
  <c r="BN77" i="1"/>
  <c r="BO77" i="1"/>
  <c r="BP77" i="1"/>
  <c r="BQ77" i="1"/>
  <c r="BR77" i="1"/>
  <c r="BS77" i="1"/>
  <c r="BT77" i="1"/>
  <c r="BU77" i="1"/>
  <c r="BV77" i="1"/>
  <c r="BL78" i="1"/>
  <c r="BM78" i="1"/>
  <c r="BN78" i="1"/>
  <c r="BO78" i="1"/>
  <c r="BP78" i="1"/>
  <c r="BQ78" i="1"/>
  <c r="BR78" i="1"/>
  <c r="BS78" i="1"/>
  <c r="BT78" i="1"/>
  <c r="BU78" i="1"/>
  <c r="BV78" i="1"/>
  <c r="BL79" i="1"/>
  <c r="BM79" i="1"/>
  <c r="BN79" i="1"/>
  <c r="BO79" i="1"/>
  <c r="BP79" i="1"/>
  <c r="BQ79" i="1"/>
  <c r="BR79" i="1"/>
  <c r="BS79" i="1"/>
  <c r="BT79" i="1"/>
  <c r="BU79" i="1"/>
  <c r="BV79" i="1"/>
  <c r="BL80" i="1"/>
  <c r="BM80" i="1"/>
  <c r="BN80" i="1"/>
  <c r="BO80" i="1"/>
  <c r="BP80" i="1"/>
  <c r="BQ80" i="1"/>
  <c r="BR80" i="1"/>
  <c r="BS80" i="1"/>
  <c r="BT80" i="1"/>
  <c r="BU80" i="1"/>
  <c r="BV80" i="1"/>
  <c r="BL81" i="1"/>
  <c r="BM81" i="1"/>
  <c r="BN81" i="1"/>
  <c r="BO81" i="1"/>
  <c r="BP81" i="1"/>
  <c r="BQ81" i="1"/>
  <c r="BR81" i="1"/>
  <c r="BS81" i="1"/>
  <c r="BT81" i="1"/>
  <c r="BU81" i="1"/>
  <c r="BV81" i="1"/>
  <c r="BL82" i="1"/>
  <c r="BM82" i="1"/>
  <c r="BN82" i="1"/>
  <c r="BO82" i="1"/>
  <c r="BP82" i="1"/>
  <c r="BQ82" i="1"/>
  <c r="BR82" i="1"/>
  <c r="BS82" i="1"/>
  <c r="BT82" i="1"/>
  <c r="BU82" i="1"/>
  <c r="BV82" i="1"/>
  <c r="BL83" i="1"/>
  <c r="BM83" i="1"/>
  <c r="BN83" i="1"/>
  <c r="BO83" i="1"/>
  <c r="BP83" i="1"/>
  <c r="BQ83" i="1"/>
  <c r="BR83" i="1"/>
  <c r="BS83" i="1"/>
  <c r="BT83" i="1"/>
  <c r="BU83" i="1"/>
  <c r="BV83" i="1"/>
  <c r="BL84" i="1"/>
  <c r="BM84" i="1"/>
  <c r="BN84" i="1"/>
  <c r="BO84" i="1"/>
  <c r="BP84" i="1"/>
  <c r="BQ84" i="1"/>
  <c r="BR84" i="1"/>
  <c r="BS84" i="1"/>
  <c r="BT84" i="1"/>
  <c r="BU84" i="1"/>
  <c r="BV8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4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AT33" i="1"/>
  <c r="AT34" i="1"/>
  <c r="AT35" i="1"/>
  <c r="AT36" i="1"/>
  <c r="AT37" i="1"/>
  <c r="AT38" i="1"/>
  <c r="AT39" i="1"/>
  <c r="AT40" i="1"/>
  <c r="AT41" i="1"/>
  <c r="AT42" i="1"/>
  <c r="AT32" i="1"/>
  <c r="C26" i="1" l="1"/>
  <c r="C25" i="1"/>
  <c r="C24" i="1"/>
  <c r="C22" i="1"/>
  <c r="C21" i="1"/>
  <c r="C20" i="1"/>
  <c r="EE100" i="1" l="1"/>
  <c r="CP100" i="1"/>
  <c r="CP99" i="1" s="1"/>
  <c r="CP98" i="1" s="1"/>
  <c r="CP97" i="1" s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T100" i="1"/>
  <c r="CT99" i="1" s="1"/>
  <c r="CT98" i="1" s="1"/>
  <c r="CT97" i="1" s="1"/>
  <c r="CT96" i="1" s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X100" i="1"/>
  <c r="CX99" i="1" s="1"/>
  <c r="CX98" i="1" s="1"/>
  <c r="CX97" i="1" s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DD124" i="1"/>
  <c r="DD123" i="1" s="1"/>
  <c r="DD122" i="1" s="1"/>
  <c r="DD121" i="1" s="1"/>
  <c r="DD120" i="1" s="1"/>
  <c r="DD119" i="1" s="1"/>
  <c r="DD118" i="1" s="1"/>
  <c r="DD117" i="1" s="1"/>
  <c r="DD116" i="1" s="1"/>
  <c r="DD115" i="1" s="1"/>
  <c r="DD114" i="1" s="1"/>
  <c r="DD113" i="1" s="1"/>
  <c r="DD112" i="1" s="1"/>
  <c r="DD111" i="1" s="1"/>
  <c r="DD110" i="1" s="1"/>
  <c r="DD109" i="1" s="1"/>
  <c r="DD108" i="1" s="1"/>
  <c r="DD107" i="1" s="1"/>
  <c r="DD106" i="1" s="1"/>
  <c r="DD105" i="1" s="1"/>
  <c r="DD104" i="1" s="1"/>
  <c r="DD103" i="1" s="1"/>
  <c r="DD102" i="1" s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T124" i="1"/>
  <c r="DT123" i="1" s="1"/>
  <c r="DT122" i="1" s="1"/>
  <c r="DT121" i="1" s="1"/>
  <c r="DT120" i="1" s="1"/>
  <c r="DT119" i="1" s="1"/>
  <c r="DT118" i="1" s="1"/>
  <c r="DT117" i="1" s="1"/>
  <c r="DT116" i="1" s="1"/>
  <c r="DG125" i="1"/>
  <c r="DG124" i="1" s="1"/>
  <c r="DG123" i="1" s="1"/>
  <c r="DG122" i="1" s="1"/>
  <c r="DG121" i="1" s="1"/>
  <c r="DG120" i="1" s="1"/>
  <c r="DG119" i="1" s="1"/>
  <c r="DG118" i="1" s="1"/>
  <c r="DG117" i="1" s="1"/>
  <c r="DG116" i="1" s="1"/>
  <c r="DG115" i="1" s="1"/>
  <c r="DG114" i="1" s="1"/>
  <c r="DG113" i="1" s="1"/>
  <c r="DG112" i="1" s="1"/>
  <c r="DG111" i="1" s="1"/>
  <c r="DG110" i="1" s="1"/>
  <c r="DG109" i="1" s="1"/>
  <c r="DG108" i="1" s="1"/>
  <c r="DG107" i="1" s="1"/>
  <c r="DG106" i="1" s="1"/>
  <c r="DG105" i="1" s="1"/>
  <c r="DG104" i="1" s="1"/>
  <c r="DG103" i="1" s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K125" i="1"/>
  <c r="DK124" i="1" s="1"/>
  <c r="DK123" i="1" s="1"/>
  <c r="DK122" i="1" s="1"/>
  <c r="DK121" i="1" s="1"/>
  <c r="DK120" i="1" s="1"/>
  <c r="DK119" i="1" s="1"/>
  <c r="DK118" i="1" s="1"/>
  <c r="DK117" i="1" s="1"/>
  <c r="DK116" i="1" s="1"/>
  <c r="DK115" i="1" s="1"/>
  <c r="DK114" i="1" s="1"/>
  <c r="DK113" i="1" s="1"/>
  <c r="DK112" i="1" s="1"/>
  <c r="DK111" i="1" s="1"/>
  <c r="DK110" i="1" s="1"/>
  <c r="DK109" i="1" s="1"/>
  <c r="DK108" i="1" s="1"/>
  <c r="DK107" i="1" s="1"/>
  <c r="DK106" i="1" s="1"/>
  <c r="DK105" i="1" s="1"/>
  <c r="DK104" i="1" s="1"/>
  <c r="DK103" i="1" s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O125" i="1"/>
  <c r="DO124" i="1" s="1"/>
  <c r="DO123" i="1" s="1"/>
  <c r="DO122" i="1" s="1"/>
  <c r="DO121" i="1" s="1"/>
  <c r="DO120" i="1" s="1"/>
  <c r="DO119" i="1" s="1"/>
  <c r="DO118" i="1" s="1"/>
  <c r="DO117" i="1" s="1"/>
  <c r="DO116" i="1" s="1"/>
  <c r="DS125" i="1"/>
  <c r="DS124" i="1" s="1"/>
  <c r="DS123" i="1" s="1"/>
  <c r="DS122" i="1" s="1"/>
  <c r="DS121" i="1" s="1"/>
  <c r="DS120" i="1" s="1"/>
  <c r="DS119" i="1" s="1"/>
  <c r="DS118" i="1" s="1"/>
  <c r="DS117" i="1" s="1"/>
  <c r="DS116" i="1" s="1"/>
  <c r="DW125" i="1"/>
  <c r="EA125" i="1"/>
  <c r="EA124" i="1" s="1"/>
  <c r="EA123" i="1" s="1"/>
  <c r="EA122" i="1" s="1"/>
  <c r="EA121" i="1" s="1"/>
  <c r="EA120" i="1" s="1"/>
  <c r="EA119" i="1" s="1"/>
  <c r="EA118" i="1" s="1"/>
  <c r="EA117" i="1" s="1"/>
  <c r="EA116" i="1" s="1"/>
  <c r="CS99" i="1"/>
  <c r="CS98" i="1" s="1"/>
  <c r="CS97" i="1" s="1"/>
  <c r="CS96" i="1" s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DA99" i="1"/>
  <c r="DA98" i="1" s="1"/>
  <c r="DA97" i="1" s="1"/>
  <c r="DA96" i="1" s="1"/>
  <c r="DA95" i="1" s="1"/>
  <c r="DA94" i="1" s="1"/>
  <c r="DA93" i="1" s="1"/>
  <c r="DA92" i="1" s="1"/>
  <c r="DA91" i="1" s="1"/>
  <c r="DA90" i="1" s="1"/>
  <c r="DA89" i="1" s="1"/>
  <c r="DA88" i="1" s="1"/>
  <c r="DA87" i="1" s="1"/>
  <c r="DA86" i="1" s="1"/>
  <c r="CS100" i="1"/>
  <c r="DF125" i="1"/>
  <c r="DF124" i="1" s="1"/>
  <c r="DF123" i="1" s="1"/>
  <c r="DF122" i="1" s="1"/>
  <c r="DF121" i="1" s="1"/>
  <c r="DF120" i="1" s="1"/>
  <c r="DF119" i="1" s="1"/>
  <c r="DF118" i="1" s="1"/>
  <c r="DF117" i="1" s="1"/>
  <c r="DF116" i="1" s="1"/>
  <c r="DF115" i="1" s="1"/>
  <c r="DF114" i="1" s="1"/>
  <c r="DF113" i="1" s="1"/>
  <c r="DF112" i="1" s="1"/>
  <c r="DF111" i="1" s="1"/>
  <c r="DF110" i="1" s="1"/>
  <c r="DF109" i="1" s="1"/>
  <c r="DF108" i="1" s="1"/>
  <c r="DF107" i="1" s="1"/>
  <c r="DF106" i="1" s="1"/>
  <c r="DF105" i="1" s="1"/>
  <c r="DF104" i="1" s="1"/>
  <c r="DF103" i="1" s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R125" i="1"/>
  <c r="DR124" i="1" s="1"/>
  <c r="DR123" i="1" s="1"/>
  <c r="DR122" i="1" s="1"/>
  <c r="DR121" i="1" s="1"/>
  <c r="DR120" i="1" s="1"/>
  <c r="DR119" i="1" s="1"/>
  <c r="DR118" i="1" s="1"/>
  <c r="DR117" i="1" s="1"/>
  <c r="DR116" i="1" s="1"/>
  <c r="DZ125" i="1"/>
  <c r="DB100" i="1"/>
  <c r="DB99" i="1" s="1"/>
  <c r="DB98" i="1" s="1"/>
  <c r="DB97" i="1" s="1"/>
  <c r="DB96" i="1" s="1"/>
  <c r="DB95" i="1" s="1"/>
  <c r="DB94" i="1" s="1"/>
  <c r="DB93" i="1" s="1"/>
  <c r="DB92" i="1" s="1"/>
  <c r="DB91" i="1" s="1"/>
  <c r="DB90" i="1" s="1"/>
  <c r="DB89" i="1" s="1"/>
  <c r="DB88" i="1" s="1"/>
  <c r="DB87" i="1" s="1"/>
  <c r="DB86" i="1" s="1"/>
  <c r="CQ100" i="1"/>
  <c r="CQ99" i="1" s="1"/>
  <c r="CQ98" i="1" s="1"/>
  <c r="CQ97" i="1" s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U100" i="1"/>
  <c r="CU99" i="1" s="1"/>
  <c r="CU98" i="1" s="1"/>
  <c r="CU97" i="1" s="1"/>
  <c r="CU96" i="1" s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Y100" i="1"/>
  <c r="CY99" i="1" s="1"/>
  <c r="CY98" i="1" s="1"/>
  <c r="CY97" i="1" s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DI115" i="1"/>
  <c r="DI114" i="1" s="1"/>
  <c r="DI113" i="1" s="1"/>
  <c r="DI112" i="1" s="1"/>
  <c r="DI111" i="1" s="1"/>
  <c r="DI110" i="1" s="1"/>
  <c r="DI109" i="1" s="1"/>
  <c r="DI108" i="1" s="1"/>
  <c r="DI107" i="1" s="1"/>
  <c r="DI106" i="1" s="1"/>
  <c r="DI105" i="1" s="1"/>
  <c r="DI104" i="1" s="1"/>
  <c r="DI103" i="1" s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Y123" i="1"/>
  <c r="DY122" i="1" s="1"/>
  <c r="DY121" i="1" s="1"/>
  <c r="DY120" i="1" s="1"/>
  <c r="DY119" i="1" s="1"/>
  <c r="DY118" i="1" s="1"/>
  <c r="DY117" i="1" s="1"/>
  <c r="DY116" i="1" s="1"/>
  <c r="DD125" i="1"/>
  <c r="DH125" i="1"/>
  <c r="DH124" i="1" s="1"/>
  <c r="DH123" i="1" s="1"/>
  <c r="DH122" i="1" s="1"/>
  <c r="DH121" i="1" s="1"/>
  <c r="DH120" i="1" s="1"/>
  <c r="DH119" i="1" s="1"/>
  <c r="DH118" i="1" s="1"/>
  <c r="DH117" i="1" s="1"/>
  <c r="DH116" i="1" s="1"/>
  <c r="DH115" i="1" s="1"/>
  <c r="DH114" i="1" s="1"/>
  <c r="DH113" i="1" s="1"/>
  <c r="DH112" i="1" s="1"/>
  <c r="DH111" i="1" s="1"/>
  <c r="DH110" i="1" s="1"/>
  <c r="DH109" i="1" s="1"/>
  <c r="DH108" i="1" s="1"/>
  <c r="DH107" i="1" s="1"/>
  <c r="DH106" i="1" s="1"/>
  <c r="DH105" i="1" s="1"/>
  <c r="DH104" i="1" s="1"/>
  <c r="DH103" i="1" s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L125" i="1"/>
  <c r="DL124" i="1" s="1"/>
  <c r="DL123" i="1" s="1"/>
  <c r="DL122" i="1" s="1"/>
  <c r="DL121" i="1" s="1"/>
  <c r="DL120" i="1" s="1"/>
  <c r="DL119" i="1" s="1"/>
  <c r="DL118" i="1" s="1"/>
  <c r="DL117" i="1" s="1"/>
  <c r="DL116" i="1" s="1"/>
  <c r="DL115" i="1" s="1"/>
  <c r="DL114" i="1" s="1"/>
  <c r="DL113" i="1" s="1"/>
  <c r="DL112" i="1" s="1"/>
  <c r="DL111" i="1" s="1"/>
  <c r="DL110" i="1" s="1"/>
  <c r="DL109" i="1" s="1"/>
  <c r="DL108" i="1" s="1"/>
  <c r="DL107" i="1" s="1"/>
  <c r="DL106" i="1" s="1"/>
  <c r="DL105" i="1" s="1"/>
  <c r="DL104" i="1" s="1"/>
  <c r="DL103" i="1" s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P125" i="1"/>
  <c r="DP124" i="1" s="1"/>
  <c r="DP123" i="1" s="1"/>
  <c r="DP122" i="1" s="1"/>
  <c r="DP121" i="1" s="1"/>
  <c r="DP120" i="1" s="1"/>
  <c r="DP119" i="1" s="1"/>
  <c r="DP118" i="1" s="1"/>
  <c r="DP117" i="1" s="1"/>
  <c r="DP116" i="1" s="1"/>
  <c r="DT125" i="1"/>
  <c r="DX125" i="1"/>
  <c r="DX124" i="1" s="1"/>
  <c r="DX123" i="1" s="1"/>
  <c r="DX122" i="1" s="1"/>
  <c r="DX121" i="1" s="1"/>
  <c r="DX120" i="1" s="1"/>
  <c r="DX119" i="1" s="1"/>
  <c r="DX118" i="1" s="1"/>
  <c r="DX117" i="1" s="1"/>
  <c r="DX116" i="1" s="1"/>
  <c r="EB125" i="1"/>
  <c r="EB124" i="1" s="1"/>
  <c r="EB123" i="1" s="1"/>
  <c r="EB122" i="1" s="1"/>
  <c r="EB121" i="1" s="1"/>
  <c r="EB120" i="1" s="1"/>
  <c r="EB119" i="1" s="1"/>
  <c r="EB118" i="1" s="1"/>
  <c r="EB117" i="1" s="1"/>
  <c r="EB116" i="1" s="1"/>
  <c r="CO100" i="1"/>
  <c r="CO99" i="1" s="1"/>
  <c r="CO98" i="1" s="1"/>
  <c r="CO97" i="1" s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W100" i="1"/>
  <c r="CW99" i="1" s="1"/>
  <c r="CW98" i="1" s="1"/>
  <c r="CW97" i="1" s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DW124" i="1"/>
  <c r="DW123" i="1" s="1"/>
  <c r="DW122" i="1" s="1"/>
  <c r="DW121" i="1" s="1"/>
  <c r="DW120" i="1" s="1"/>
  <c r="DW119" i="1" s="1"/>
  <c r="DW118" i="1" s="1"/>
  <c r="DW117" i="1" s="1"/>
  <c r="DW116" i="1" s="1"/>
  <c r="DN125" i="1"/>
  <c r="DN124" i="1" s="1"/>
  <c r="DN123" i="1" s="1"/>
  <c r="DN122" i="1" s="1"/>
  <c r="DN121" i="1" s="1"/>
  <c r="DN120" i="1" s="1"/>
  <c r="DN119" i="1" s="1"/>
  <c r="DN118" i="1" s="1"/>
  <c r="DN117" i="1" s="1"/>
  <c r="DN116" i="1" s="1"/>
  <c r="CN99" i="1"/>
  <c r="CN98" i="1" s="1"/>
  <c r="CN97" i="1" s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100" i="1"/>
  <c r="CR100" i="1"/>
  <c r="CR99" i="1" s="1"/>
  <c r="CR98" i="1" s="1"/>
  <c r="CR97" i="1" s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V100" i="1"/>
  <c r="CV99" i="1" s="1"/>
  <c r="CV98" i="1" s="1"/>
  <c r="CV97" i="1" s="1"/>
  <c r="CV96" i="1" s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Z100" i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DZ124" i="1"/>
  <c r="DZ123" i="1" s="1"/>
  <c r="DZ122" i="1" s="1"/>
  <c r="DZ121" i="1" s="1"/>
  <c r="DZ120" i="1" s="1"/>
  <c r="DZ119" i="1" s="1"/>
  <c r="DZ118" i="1" s="1"/>
  <c r="DZ117" i="1" s="1"/>
  <c r="DZ116" i="1" s="1"/>
  <c r="DE125" i="1"/>
  <c r="DE124" i="1" s="1"/>
  <c r="DE123" i="1" s="1"/>
  <c r="DE122" i="1" s="1"/>
  <c r="DE121" i="1" s="1"/>
  <c r="DE120" i="1" s="1"/>
  <c r="DE119" i="1" s="1"/>
  <c r="DE118" i="1" s="1"/>
  <c r="DE117" i="1" s="1"/>
  <c r="DE116" i="1" s="1"/>
  <c r="DE115" i="1" s="1"/>
  <c r="DE114" i="1" s="1"/>
  <c r="DE113" i="1" s="1"/>
  <c r="DE112" i="1" s="1"/>
  <c r="DE111" i="1" s="1"/>
  <c r="DE110" i="1" s="1"/>
  <c r="DE109" i="1" s="1"/>
  <c r="DE108" i="1" s="1"/>
  <c r="DE107" i="1" s="1"/>
  <c r="DE106" i="1" s="1"/>
  <c r="DE105" i="1" s="1"/>
  <c r="DE104" i="1" s="1"/>
  <c r="DE103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I125" i="1"/>
  <c r="DI124" i="1" s="1"/>
  <c r="DI123" i="1" s="1"/>
  <c r="DI122" i="1" s="1"/>
  <c r="DI121" i="1" s="1"/>
  <c r="DI120" i="1" s="1"/>
  <c r="DI119" i="1" s="1"/>
  <c r="DI118" i="1" s="1"/>
  <c r="DI117" i="1" s="1"/>
  <c r="DI116" i="1" s="1"/>
  <c r="DM125" i="1"/>
  <c r="DM124" i="1" s="1"/>
  <c r="DM123" i="1" s="1"/>
  <c r="DM122" i="1" s="1"/>
  <c r="DM121" i="1" s="1"/>
  <c r="DM120" i="1" s="1"/>
  <c r="DM119" i="1" s="1"/>
  <c r="DM118" i="1" s="1"/>
  <c r="DM117" i="1" s="1"/>
  <c r="DM116" i="1" s="1"/>
  <c r="DM115" i="1" s="1"/>
  <c r="DM114" i="1" s="1"/>
  <c r="DM113" i="1" s="1"/>
  <c r="DM112" i="1" s="1"/>
  <c r="DM111" i="1" s="1"/>
  <c r="DM110" i="1" s="1"/>
  <c r="DM109" i="1" s="1"/>
  <c r="DM108" i="1" s="1"/>
  <c r="DM107" i="1" s="1"/>
  <c r="DM106" i="1" s="1"/>
  <c r="DM105" i="1" s="1"/>
  <c r="DM104" i="1" s="1"/>
  <c r="DM103" i="1" s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Q125" i="1"/>
  <c r="DQ124" i="1" s="1"/>
  <c r="DQ123" i="1" s="1"/>
  <c r="DQ122" i="1" s="1"/>
  <c r="DQ121" i="1" s="1"/>
  <c r="DQ120" i="1" s="1"/>
  <c r="DQ119" i="1" s="1"/>
  <c r="DQ118" i="1" s="1"/>
  <c r="DQ117" i="1" s="1"/>
  <c r="DQ116" i="1" s="1"/>
  <c r="DU125" i="1"/>
  <c r="DU124" i="1" s="1"/>
  <c r="DU123" i="1" s="1"/>
  <c r="DU122" i="1" s="1"/>
  <c r="DU121" i="1" s="1"/>
  <c r="DU120" i="1" s="1"/>
  <c r="DU119" i="1" s="1"/>
  <c r="DU118" i="1" s="1"/>
  <c r="DU117" i="1" s="1"/>
  <c r="DU116" i="1" s="1"/>
  <c r="DY125" i="1"/>
  <c r="DY124" i="1" s="1"/>
  <c r="DC125" i="1"/>
  <c r="DC124" i="1" s="1"/>
  <c r="DC123" i="1" s="1"/>
  <c r="DC122" i="1" s="1"/>
  <c r="DC121" i="1" s="1"/>
  <c r="DC120" i="1" s="1"/>
  <c r="DC119" i="1" s="1"/>
  <c r="DC118" i="1" s="1"/>
  <c r="DC117" i="1" s="1"/>
  <c r="DC116" i="1" s="1"/>
  <c r="DC115" i="1" s="1"/>
  <c r="DC114" i="1" s="1"/>
  <c r="DC113" i="1" s="1"/>
  <c r="DC112" i="1" s="1"/>
  <c r="DC111" i="1" s="1"/>
  <c r="DC110" i="1" s="1"/>
  <c r="DC109" i="1" s="1"/>
  <c r="DC108" i="1" s="1"/>
  <c r="DC107" i="1" s="1"/>
  <c r="DC106" i="1" s="1"/>
  <c r="DC105" i="1" s="1"/>
  <c r="DC104" i="1" s="1"/>
  <c r="DC103" i="1" s="1"/>
  <c r="DC102" i="1" s="1"/>
  <c r="DC101" i="1" s="1"/>
  <c r="DC100" i="1" s="1"/>
  <c r="DC99" i="1" s="1"/>
  <c r="DC98" i="1" s="1"/>
  <c r="DC97" i="1" s="1"/>
  <c r="DC96" i="1" s="1"/>
  <c r="DC95" i="1" s="1"/>
  <c r="DC94" i="1" s="1"/>
  <c r="DC93" i="1" s="1"/>
  <c r="DC92" i="1" s="1"/>
  <c r="DC91" i="1" s="1"/>
  <c r="DC90" i="1" s="1"/>
  <c r="DC89" i="1" s="1"/>
  <c r="DC88" i="1" s="1"/>
  <c r="DC87" i="1" s="1"/>
  <c r="DC86" i="1" s="1"/>
  <c r="FS125" i="1"/>
  <c r="FS124" i="1" s="1"/>
  <c r="DA100" i="1"/>
  <c r="DJ125" i="1"/>
  <c r="DJ124" i="1" s="1"/>
  <c r="DJ123" i="1" s="1"/>
  <c r="DJ122" i="1" s="1"/>
  <c r="DJ121" i="1" s="1"/>
  <c r="DJ120" i="1" s="1"/>
  <c r="DJ119" i="1" s="1"/>
  <c r="DJ118" i="1" s="1"/>
  <c r="DJ117" i="1" s="1"/>
  <c r="DJ116" i="1" s="1"/>
  <c r="DJ115" i="1" s="1"/>
  <c r="DJ114" i="1" s="1"/>
  <c r="DJ113" i="1" s="1"/>
  <c r="DJ112" i="1" s="1"/>
  <c r="DJ111" i="1" s="1"/>
  <c r="DJ110" i="1" s="1"/>
  <c r="DJ109" i="1" s="1"/>
  <c r="DJ108" i="1" s="1"/>
  <c r="DJ107" i="1" s="1"/>
  <c r="DJ106" i="1" s="1"/>
  <c r="DJ105" i="1" s="1"/>
  <c r="DJ104" i="1" s="1"/>
  <c r="DJ103" i="1" s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V125" i="1"/>
  <c r="DV124" i="1" s="1"/>
  <c r="DV123" i="1" s="1"/>
  <c r="DV122" i="1" s="1"/>
  <c r="DV121" i="1" s="1"/>
  <c r="DV120" i="1" s="1"/>
  <c r="DV119" i="1" s="1"/>
  <c r="DV118" i="1" s="1"/>
  <c r="DV117" i="1" s="1"/>
  <c r="DV116" i="1" s="1"/>
  <c r="DD79" i="1"/>
  <c r="DE79" i="1" s="1"/>
  <c r="DF79" i="1" s="1"/>
  <c r="DG79" i="1" s="1"/>
  <c r="DH79" i="1" s="1"/>
  <c r="DI79" i="1" s="1"/>
  <c r="DJ79" i="1" s="1"/>
  <c r="DK79" i="1" s="1"/>
  <c r="DL79" i="1" s="1"/>
  <c r="DM79" i="1" s="1"/>
  <c r="DN79" i="1" s="1"/>
  <c r="DO79" i="1" s="1"/>
  <c r="DP79" i="1" s="1"/>
  <c r="DD83" i="1"/>
  <c r="DE83" i="1" s="1"/>
  <c r="DF83" i="1" s="1"/>
  <c r="DG83" i="1" s="1"/>
  <c r="DH83" i="1" s="1"/>
  <c r="DI83" i="1" s="1"/>
  <c r="DJ83" i="1" s="1"/>
  <c r="DK83" i="1" s="1"/>
  <c r="DL83" i="1" s="1"/>
  <c r="DM83" i="1" s="1"/>
  <c r="DN83" i="1" s="1"/>
  <c r="DO83" i="1" s="1"/>
  <c r="DP83" i="1" s="1"/>
  <c r="DQ83" i="1" s="1"/>
  <c r="DR83" i="1" s="1"/>
  <c r="DS83" i="1" s="1"/>
  <c r="DD61" i="1"/>
  <c r="DD65" i="1"/>
  <c r="DD68" i="1"/>
  <c r="DD72" i="1"/>
  <c r="CO47" i="1"/>
  <c r="CO51" i="1"/>
  <c r="CO55" i="1"/>
  <c r="CP55" i="1" s="1"/>
  <c r="CQ55" i="1" s="1"/>
  <c r="CO59" i="1"/>
  <c r="CP59" i="1" s="1"/>
  <c r="CQ59" i="1" s="1"/>
  <c r="CR59" i="1" s="1"/>
  <c r="CS59" i="1" s="1"/>
  <c r="CT59" i="1" s="1"/>
  <c r="CU59" i="1" s="1"/>
  <c r="CV59" i="1" s="1"/>
  <c r="DD78" i="1"/>
  <c r="DE78" i="1" s="1"/>
  <c r="DF78" i="1" s="1"/>
  <c r="DG78" i="1" s="1"/>
  <c r="DH78" i="1" s="1"/>
  <c r="DI78" i="1" s="1"/>
  <c r="DJ78" i="1" s="1"/>
  <c r="DK78" i="1" s="1"/>
  <c r="DL78" i="1" s="1"/>
  <c r="DM78" i="1" s="1"/>
  <c r="DN78" i="1" s="1"/>
  <c r="DO78" i="1" s="1"/>
  <c r="DD64" i="1"/>
  <c r="DD75" i="1"/>
  <c r="DE75" i="1" s="1"/>
  <c r="DF75" i="1" s="1"/>
  <c r="DG75" i="1" s="1"/>
  <c r="DH75" i="1" s="1"/>
  <c r="DI75" i="1" s="1"/>
  <c r="DJ75" i="1" s="1"/>
  <c r="DK75" i="1" s="1"/>
  <c r="CP57" i="1"/>
  <c r="CQ57" i="1" s="1"/>
  <c r="CR57" i="1" s="1"/>
  <c r="CS57" i="1" s="1"/>
  <c r="CT57" i="1" s="1"/>
  <c r="CO54" i="1"/>
  <c r="CP54" i="1" s="1"/>
  <c r="CQ54" i="1" s="1"/>
  <c r="DD80" i="1"/>
  <c r="DE80" i="1" s="1"/>
  <c r="DF80" i="1" s="1"/>
  <c r="DG80" i="1" s="1"/>
  <c r="DH80" i="1" s="1"/>
  <c r="DI80" i="1" s="1"/>
  <c r="DJ80" i="1" s="1"/>
  <c r="DK80" i="1" s="1"/>
  <c r="DL80" i="1" s="1"/>
  <c r="DM80" i="1" s="1"/>
  <c r="DN80" i="1" s="1"/>
  <c r="DO80" i="1" s="1"/>
  <c r="DP80" i="1" s="1"/>
  <c r="DQ80" i="1" s="1"/>
  <c r="DD84" i="1"/>
  <c r="DE84" i="1" s="1"/>
  <c r="DF84" i="1" s="1"/>
  <c r="DG84" i="1" s="1"/>
  <c r="DH84" i="1" s="1"/>
  <c r="DI84" i="1" s="1"/>
  <c r="DJ84" i="1" s="1"/>
  <c r="DK84" i="1" s="1"/>
  <c r="DL84" i="1" s="1"/>
  <c r="DM84" i="1" s="1"/>
  <c r="DN84" i="1" s="1"/>
  <c r="DO84" i="1" s="1"/>
  <c r="DP84" i="1" s="1"/>
  <c r="DQ84" i="1" s="1"/>
  <c r="DR84" i="1" s="1"/>
  <c r="DS84" i="1" s="1"/>
  <c r="DT84" i="1" s="1"/>
  <c r="DD62" i="1"/>
  <c r="DD66" i="1"/>
  <c r="DD69" i="1"/>
  <c r="DD73" i="1"/>
  <c r="DD76" i="1"/>
  <c r="DE76" i="1" s="1"/>
  <c r="DF76" i="1" s="1"/>
  <c r="DG76" i="1" s="1"/>
  <c r="DH76" i="1" s="1"/>
  <c r="DI76" i="1" s="1"/>
  <c r="DJ76" i="1" s="1"/>
  <c r="DK76" i="1" s="1"/>
  <c r="DL76" i="1" s="1"/>
  <c r="DM76" i="1" s="1"/>
  <c r="CP51" i="1"/>
  <c r="CO48" i="1"/>
  <c r="CO52" i="1"/>
  <c r="CP52" i="1" s="1"/>
  <c r="CO56" i="1"/>
  <c r="CP56" i="1" s="1"/>
  <c r="CQ56" i="1" s="1"/>
  <c r="CR56" i="1" s="1"/>
  <c r="CO44" i="1"/>
  <c r="DE67" i="1"/>
  <c r="CO46" i="1"/>
  <c r="DD77" i="1"/>
  <c r="DE77" i="1" s="1"/>
  <c r="DF77" i="1" s="1"/>
  <c r="DG77" i="1" s="1"/>
  <c r="DH77" i="1" s="1"/>
  <c r="DI77" i="1" s="1"/>
  <c r="DJ77" i="1" s="1"/>
  <c r="DK77" i="1" s="1"/>
  <c r="DL77" i="1" s="1"/>
  <c r="DM77" i="1" s="1"/>
  <c r="DN77" i="1" s="1"/>
  <c r="DO77" i="1" s="1"/>
  <c r="DD81" i="1"/>
  <c r="DE81" i="1" s="1"/>
  <c r="DF81" i="1" s="1"/>
  <c r="DG81" i="1" s="1"/>
  <c r="DH81" i="1" s="1"/>
  <c r="DI81" i="1" s="1"/>
  <c r="DJ81" i="1" s="1"/>
  <c r="DK81" i="1" s="1"/>
  <c r="DL81" i="1" s="1"/>
  <c r="DM81" i="1" s="1"/>
  <c r="DN81" i="1" s="1"/>
  <c r="DO81" i="1" s="1"/>
  <c r="DP81" i="1" s="1"/>
  <c r="DQ81" i="1" s="1"/>
  <c r="DR81" i="1" s="1"/>
  <c r="DS81" i="1" s="1"/>
  <c r="DD60" i="1"/>
  <c r="DD63" i="1"/>
  <c r="DD67" i="1"/>
  <c r="DD70" i="1"/>
  <c r="DD74" i="1"/>
  <c r="DE74" i="1" s="1"/>
  <c r="DF74" i="1" s="1"/>
  <c r="DG74" i="1" s="1"/>
  <c r="DH74" i="1" s="1"/>
  <c r="DI74" i="1" s="1"/>
  <c r="DJ74" i="1" s="1"/>
  <c r="DK74" i="1" s="1"/>
  <c r="CP44" i="1"/>
  <c r="CP46" i="1"/>
  <c r="CP48" i="1"/>
  <c r="CO49" i="1"/>
  <c r="CP49" i="1" s="1"/>
  <c r="CO53" i="1"/>
  <c r="CP53" i="1" s="1"/>
  <c r="CO57" i="1"/>
  <c r="CO45" i="1"/>
  <c r="DD82" i="1"/>
  <c r="DE82" i="1" s="1"/>
  <c r="DF82" i="1" s="1"/>
  <c r="DG82" i="1" s="1"/>
  <c r="DH82" i="1" s="1"/>
  <c r="DI82" i="1" s="1"/>
  <c r="DJ82" i="1" s="1"/>
  <c r="DK82" i="1" s="1"/>
  <c r="DL82" i="1" s="1"/>
  <c r="DM82" i="1" s="1"/>
  <c r="DN82" i="1" s="1"/>
  <c r="DO82" i="1" s="1"/>
  <c r="DP82" i="1" s="1"/>
  <c r="DQ82" i="1" s="1"/>
  <c r="DR82" i="1" s="1"/>
  <c r="DS82" i="1" s="1"/>
  <c r="DT82" i="1" s="1"/>
  <c r="DD71" i="1"/>
  <c r="CO50" i="1"/>
  <c r="CO58" i="1"/>
  <c r="CP58" i="1" s="1"/>
  <c r="CQ58" i="1" s="1"/>
  <c r="CR58" i="1" s="1"/>
  <c r="CS58" i="1" s="1"/>
  <c r="CT58" i="1" s="1"/>
  <c r="EF45" i="1"/>
  <c r="ET60" i="1"/>
  <c r="EU60" i="1" s="1"/>
  <c r="ET61" i="1"/>
  <c r="EU61" i="1" s="1"/>
  <c r="EF46" i="1"/>
  <c r="EG46" i="1" s="1"/>
  <c r="EF44" i="1"/>
  <c r="EG44" i="1" s="1"/>
  <c r="EH44" i="1" s="1"/>
  <c r="EF47" i="1"/>
  <c r="EG47" i="1" s="1"/>
  <c r="ET62" i="1"/>
  <c r="EU62" i="1" s="1"/>
  <c r="EF48" i="1"/>
  <c r="ET63" i="1"/>
  <c r="EU63" i="1" s="1"/>
  <c r="EV63" i="1" s="1"/>
  <c r="EF49" i="1"/>
  <c r="ET64" i="1"/>
  <c r="EU64" i="1" s="1"/>
  <c r="EF50" i="1"/>
  <c r="EG50" i="1" s="1"/>
  <c r="ET65" i="1"/>
  <c r="EU65" i="1" s="1"/>
  <c r="EV65" i="1" s="1"/>
  <c r="ET66" i="1"/>
  <c r="EU66" i="1" s="1"/>
  <c r="EV66" i="1" s="1"/>
  <c r="EF51" i="1"/>
  <c r="EF52" i="1"/>
  <c r="ET67" i="1"/>
  <c r="EU67" i="1" s="1"/>
  <c r="EV67" i="1" s="1"/>
  <c r="ET68" i="1"/>
  <c r="EU68" i="1" s="1"/>
  <c r="EF53" i="1"/>
  <c r="ET69" i="1"/>
  <c r="EU69" i="1" s="1"/>
  <c r="EV69" i="1" s="1"/>
  <c r="EF54" i="1"/>
  <c r="EF55" i="1"/>
  <c r="ET70" i="1"/>
  <c r="EU70" i="1" s="1"/>
  <c r="EF56" i="1"/>
  <c r="EG56" i="1" s="1"/>
  <c r="EH56" i="1" s="1"/>
  <c r="EI56" i="1" s="1"/>
  <c r="EJ56" i="1" s="1"/>
  <c r="ET71" i="1"/>
  <c r="EU71" i="1" s="1"/>
  <c r="EF57" i="1"/>
  <c r="EG57" i="1" s="1"/>
  <c r="ET72" i="1"/>
  <c r="EU72" i="1" s="1"/>
  <c r="EF58" i="1"/>
  <c r="ET73" i="1"/>
  <c r="EU73" i="1" s="1"/>
  <c r="EV73" i="1" s="1"/>
  <c r="EF59" i="1"/>
  <c r="EG59" i="1" s="1"/>
  <c r="ET74" i="1"/>
  <c r="EU74" i="1" s="1"/>
  <c r="ET75" i="1"/>
  <c r="EU75" i="1" s="1"/>
  <c r="EV75" i="1" s="1"/>
  <c r="ET76" i="1"/>
  <c r="EU76" i="1" s="1"/>
  <c r="EV76" i="1" s="1"/>
  <c r="EW76" i="1" s="1"/>
  <c r="EX76" i="1" s="1"/>
  <c r="EY76" i="1" s="1"/>
  <c r="EZ76" i="1" s="1"/>
  <c r="FA76" i="1" s="1"/>
  <c r="FB76" i="1" s="1"/>
  <c r="FC76" i="1" s="1"/>
  <c r="FD76" i="1" s="1"/>
  <c r="FE76" i="1" s="1"/>
  <c r="ET77" i="1"/>
  <c r="EU77" i="1" s="1"/>
  <c r="ET78" i="1"/>
  <c r="EU78" i="1" s="1"/>
  <c r="ET79" i="1"/>
  <c r="EU79" i="1" s="1"/>
  <c r="ET80" i="1"/>
  <c r="EU80" i="1" s="1"/>
  <c r="EV80" i="1" s="1"/>
  <c r="EW80" i="1" s="1"/>
  <c r="EX80" i="1" s="1"/>
  <c r="EY80" i="1" s="1"/>
  <c r="EZ80" i="1" s="1"/>
  <c r="FA80" i="1" s="1"/>
  <c r="FB80" i="1" s="1"/>
  <c r="FC80" i="1" s="1"/>
  <c r="FD80" i="1" s="1"/>
  <c r="FE80" i="1" s="1"/>
  <c r="FF80" i="1" s="1"/>
  <c r="FG80" i="1" s="1"/>
  <c r="FH80" i="1" s="1"/>
  <c r="FI80" i="1" s="1"/>
  <c r="ET81" i="1"/>
  <c r="EU81" i="1" s="1"/>
  <c r="ET82" i="1"/>
  <c r="EU82" i="1" s="1"/>
  <c r="ET84" i="1"/>
  <c r="EU84" i="1" s="1"/>
  <c r="ET83" i="1"/>
  <c r="EU83" i="1" s="1"/>
  <c r="EV83" i="1" s="1"/>
  <c r="EW83" i="1" s="1"/>
  <c r="EX83" i="1" s="1"/>
  <c r="EY83" i="1" s="1"/>
  <c r="EZ83" i="1" s="1"/>
  <c r="FA83" i="1" s="1"/>
  <c r="FB83" i="1" s="1"/>
  <c r="FC83" i="1" s="1"/>
  <c r="FD83" i="1" s="1"/>
  <c r="FE83" i="1" s="1"/>
  <c r="FF83" i="1" s="1"/>
  <c r="FG83" i="1" s="1"/>
  <c r="FH83" i="1" s="1"/>
  <c r="FI83" i="1" s="1"/>
  <c r="FJ83" i="1" s="1"/>
  <c r="FK83" i="1" s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G43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C11" i="1"/>
  <c r="C10" i="1"/>
  <c r="EH59" i="1" l="1"/>
  <c r="EI59" i="1" s="1"/>
  <c r="EJ59" i="1" s="1"/>
  <c r="EK59" i="1" s="1"/>
  <c r="EL59" i="1" s="1"/>
  <c r="EM59" i="1" s="1"/>
  <c r="EN59" i="1" s="1"/>
  <c r="EO59" i="1" s="1"/>
  <c r="EV71" i="1"/>
  <c r="EW67" i="1"/>
  <c r="EW75" i="1"/>
  <c r="EX75" i="1" s="1"/>
  <c r="EY75" i="1" s="1"/>
  <c r="EZ75" i="1" s="1"/>
  <c r="FA75" i="1" s="1"/>
  <c r="FB75" i="1" s="1"/>
  <c r="FC75" i="1" s="1"/>
  <c r="EG52" i="1"/>
  <c r="EH52" i="1" s="1"/>
  <c r="EI52" i="1" s="1"/>
  <c r="EH46" i="1"/>
  <c r="EG54" i="1"/>
  <c r="EH54" i="1" s="1"/>
  <c r="EI54" i="1" s="1"/>
  <c r="EV79" i="1"/>
  <c r="EW79" i="1" s="1"/>
  <c r="EX79" i="1" s="1"/>
  <c r="EY79" i="1" s="1"/>
  <c r="EZ79" i="1" s="1"/>
  <c r="FA79" i="1" s="1"/>
  <c r="FB79" i="1" s="1"/>
  <c r="FC79" i="1" s="1"/>
  <c r="FD79" i="1" s="1"/>
  <c r="FE79" i="1" s="1"/>
  <c r="FF79" i="1" s="1"/>
  <c r="FG79" i="1" s="1"/>
  <c r="FH79" i="1" s="1"/>
  <c r="EV78" i="1"/>
  <c r="EW78" i="1" s="1"/>
  <c r="EX78" i="1" s="1"/>
  <c r="EY78" i="1" s="1"/>
  <c r="EZ78" i="1" s="1"/>
  <c r="FA78" i="1" s="1"/>
  <c r="FB78" i="1" s="1"/>
  <c r="FC78" i="1" s="1"/>
  <c r="FD78" i="1" s="1"/>
  <c r="FE78" i="1" s="1"/>
  <c r="FF78" i="1" s="1"/>
  <c r="FG78" i="1" s="1"/>
  <c r="FH78" i="1" s="1"/>
  <c r="DU84" i="1"/>
  <c r="CR54" i="1"/>
  <c r="EV84" i="1"/>
  <c r="EW84" i="1" s="1"/>
  <c r="EX84" i="1" s="1"/>
  <c r="EY84" i="1" s="1"/>
  <c r="EZ84" i="1" s="1"/>
  <c r="FA84" i="1" s="1"/>
  <c r="FB84" i="1" s="1"/>
  <c r="FC84" i="1" s="1"/>
  <c r="FD84" i="1" s="1"/>
  <c r="FE84" i="1" s="1"/>
  <c r="FF84" i="1" s="1"/>
  <c r="FG84" i="1" s="1"/>
  <c r="FH84" i="1" s="1"/>
  <c r="FI84" i="1" s="1"/>
  <c r="FJ84" i="1" s="1"/>
  <c r="FK84" i="1" s="1"/>
  <c r="FL84" i="1" s="1"/>
  <c r="FM84" i="1" s="1"/>
  <c r="EG58" i="1"/>
  <c r="EH58" i="1" s="1"/>
  <c r="EI58" i="1" s="1"/>
  <c r="EJ58" i="1" s="1"/>
  <c r="EK58" i="1" s="1"/>
  <c r="EL58" i="1" s="1"/>
  <c r="CQ52" i="1"/>
  <c r="DE71" i="1"/>
  <c r="CQ53" i="1"/>
  <c r="CQ48" i="1"/>
  <c r="DE70" i="1"/>
  <c r="DT81" i="1"/>
  <c r="DF67" i="1"/>
  <c r="CQ51" i="1"/>
  <c r="DE60" i="1"/>
  <c r="DL75" i="1"/>
  <c r="DE61" i="1"/>
  <c r="EW65" i="1"/>
  <c r="CU58" i="1"/>
  <c r="DE73" i="1"/>
  <c r="DL74" i="1"/>
  <c r="CQ49" i="1"/>
  <c r="CS56" i="1"/>
  <c r="EK56" i="1" s="1"/>
  <c r="CR55" i="1"/>
  <c r="DE64" i="1"/>
  <c r="CP50" i="1"/>
  <c r="EV60" i="1"/>
  <c r="DU82" i="1"/>
  <c r="DN76" i="1"/>
  <c r="DE62" i="1"/>
  <c r="CU57" i="1"/>
  <c r="DT83" i="1"/>
  <c r="EV82" i="1"/>
  <c r="EW82" i="1" s="1"/>
  <c r="EX82" i="1" s="1"/>
  <c r="EY82" i="1" s="1"/>
  <c r="EZ82" i="1" s="1"/>
  <c r="FA82" i="1" s="1"/>
  <c r="FB82" i="1" s="1"/>
  <c r="FC82" i="1" s="1"/>
  <c r="FD82" i="1" s="1"/>
  <c r="FE82" i="1" s="1"/>
  <c r="FF82" i="1" s="1"/>
  <c r="FG82" i="1" s="1"/>
  <c r="FH82" i="1" s="1"/>
  <c r="FI82" i="1" s="1"/>
  <c r="FJ82" i="1" s="1"/>
  <c r="FK82" i="1" s="1"/>
  <c r="FL82" i="1" s="1"/>
  <c r="EV72" i="1"/>
  <c r="EG51" i="1"/>
  <c r="EH51" i="1" s="1"/>
  <c r="EI51" i="1" s="1"/>
  <c r="CW59" i="1"/>
  <c r="CQ46" i="1"/>
  <c r="DP78" i="1"/>
  <c r="DE69" i="1"/>
  <c r="EW69" i="1" s="1"/>
  <c r="DQ79" i="1"/>
  <c r="DE72" i="1"/>
  <c r="EV74" i="1"/>
  <c r="EW74" i="1" s="1"/>
  <c r="EX74" i="1" s="1"/>
  <c r="EY74" i="1" s="1"/>
  <c r="EZ74" i="1" s="1"/>
  <c r="FA74" i="1" s="1"/>
  <c r="FB74" i="1" s="1"/>
  <c r="FC74" i="1" s="1"/>
  <c r="EV70" i="1"/>
  <c r="EW70" i="1" s="1"/>
  <c r="EG53" i="1"/>
  <c r="EH53" i="1" s="1"/>
  <c r="EI53" i="1" s="1"/>
  <c r="DP77" i="1"/>
  <c r="DR80" i="1"/>
  <c r="FJ80" i="1" s="1"/>
  <c r="CP47" i="1"/>
  <c r="DE68" i="1"/>
  <c r="EV81" i="1"/>
  <c r="EW81" i="1" s="1"/>
  <c r="EX81" i="1" s="1"/>
  <c r="EY81" i="1" s="1"/>
  <c r="EZ81" i="1" s="1"/>
  <c r="FA81" i="1" s="1"/>
  <c r="FB81" i="1" s="1"/>
  <c r="FC81" i="1" s="1"/>
  <c r="FD81" i="1" s="1"/>
  <c r="FE81" i="1" s="1"/>
  <c r="FF81" i="1" s="1"/>
  <c r="FG81" i="1" s="1"/>
  <c r="FH81" i="1" s="1"/>
  <c r="FI81" i="1" s="1"/>
  <c r="FJ81" i="1" s="1"/>
  <c r="FK81" i="1" s="1"/>
  <c r="EV77" i="1"/>
  <c r="EW77" i="1" s="1"/>
  <c r="EX77" i="1" s="1"/>
  <c r="EY77" i="1" s="1"/>
  <c r="EZ77" i="1" s="1"/>
  <c r="FA77" i="1" s="1"/>
  <c r="FB77" i="1" s="1"/>
  <c r="FC77" i="1" s="1"/>
  <c r="FD77" i="1" s="1"/>
  <c r="FE77" i="1" s="1"/>
  <c r="FF77" i="1" s="1"/>
  <c r="FG77" i="1" s="1"/>
  <c r="EH57" i="1"/>
  <c r="EI57" i="1" s="1"/>
  <c r="EJ57" i="1" s="1"/>
  <c r="EK57" i="1" s="1"/>
  <c r="EL57" i="1" s="1"/>
  <c r="EM57" i="1" s="1"/>
  <c r="EG55" i="1"/>
  <c r="EH55" i="1" s="1"/>
  <c r="EI55" i="1" s="1"/>
  <c r="EV68" i="1"/>
  <c r="EW66" i="1"/>
  <c r="EV64" i="1"/>
  <c r="EW64" i="1" s="1"/>
  <c r="EG49" i="1"/>
  <c r="EH49" i="1" s="1"/>
  <c r="EG48" i="1"/>
  <c r="EH48" i="1" s="1"/>
  <c r="EV62" i="1"/>
  <c r="EW62" i="1" s="1"/>
  <c r="EV61" i="1"/>
  <c r="EG45" i="1"/>
  <c r="CQ44" i="1"/>
  <c r="DE63" i="1"/>
  <c r="DE66" i="1"/>
  <c r="CP45" i="1"/>
  <c r="DE65" i="1"/>
  <c r="FS123" i="1"/>
  <c r="FS122" i="1" s="1"/>
  <c r="FS121" i="1" s="1"/>
  <c r="FS120" i="1" s="1"/>
  <c r="FS119" i="1" s="1"/>
  <c r="FS118" i="1" s="1"/>
  <c r="FS117" i="1" s="1"/>
  <c r="FS116" i="1" s="1"/>
  <c r="EE99" i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G86" i="1" s="1"/>
  <c r="EJ54" i="1" l="1"/>
  <c r="EW68" i="1"/>
  <c r="FD74" i="1"/>
  <c r="EW72" i="1"/>
  <c r="EM58" i="1"/>
  <c r="FD75" i="1"/>
  <c r="CR44" i="1"/>
  <c r="DU83" i="1"/>
  <c r="DR79" i="1"/>
  <c r="CR46" i="1"/>
  <c r="DV82" i="1"/>
  <c r="CS55" i="1"/>
  <c r="CR49" i="1"/>
  <c r="DF60" i="1"/>
  <c r="CS54" i="1"/>
  <c r="DF66" i="1"/>
  <c r="DF63" i="1"/>
  <c r="EW61" i="1"/>
  <c r="EX61" i="1" s="1"/>
  <c r="EW63" i="1"/>
  <c r="FH77" i="1"/>
  <c r="DF68" i="1"/>
  <c r="DS80" i="1"/>
  <c r="DQ78" i="1"/>
  <c r="FI78" i="1" s="1"/>
  <c r="FM82" i="1"/>
  <c r="CV57" i="1"/>
  <c r="DO76" i="1"/>
  <c r="EW60" i="1"/>
  <c r="FI79" i="1"/>
  <c r="CV58" i="1"/>
  <c r="FF76" i="1"/>
  <c r="FG76" i="1" s="1"/>
  <c r="DG67" i="1"/>
  <c r="DF70" i="1"/>
  <c r="CR53" i="1"/>
  <c r="EJ53" i="1" s="1"/>
  <c r="EX67" i="1"/>
  <c r="CQ45" i="1"/>
  <c r="DQ77" i="1"/>
  <c r="DF73" i="1"/>
  <c r="DU81" i="1"/>
  <c r="CR48" i="1"/>
  <c r="DF71" i="1"/>
  <c r="EW73" i="1"/>
  <c r="EH45" i="1"/>
  <c r="EI48" i="1"/>
  <c r="EX66" i="1"/>
  <c r="CQ50" i="1"/>
  <c r="DF61" i="1"/>
  <c r="CR52" i="1"/>
  <c r="DF65" i="1"/>
  <c r="EX65" i="1" s="1"/>
  <c r="EI44" i="1"/>
  <c r="EJ44" i="1" s="1"/>
  <c r="EI49" i="1"/>
  <c r="EJ49" i="1" s="1"/>
  <c r="EJ55" i="1"/>
  <c r="EK55" i="1" s="1"/>
  <c r="FL81" i="1"/>
  <c r="FM81" i="1" s="1"/>
  <c r="CQ47" i="1"/>
  <c r="DF72" i="1"/>
  <c r="DF69" i="1"/>
  <c r="CX59" i="1"/>
  <c r="DF62" i="1"/>
  <c r="EI46" i="1"/>
  <c r="DF64" i="1"/>
  <c r="EX64" i="1" s="1"/>
  <c r="CT56" i="1"/>
  <c r="EL56" i="1" s="1"/>
  <c r="DM74" i="1"/>
  <c r="EH47" i="1"/>
  <c r="FL83" i="1"/>
  <c r="DM75" i="1"/>
  <c r="CR51" i="1"/>
  <c r="EJ51" i="1" s="1"/>
  <c r="EH50" i="1"/>
  <c r="FN84" i="1"/>
  <c r="EW71" i="1"/>
  <c r="EX71" i="1" s="1"/>
  <c r="DV84" i="1"/>
  <c r="EN58" i="1" l="1"/>
  <c r="EX68" i="1"/>
  <c r="EJ46" i="1"/>
  <c r="EX60" i="1"/>
  <c r="EY60" i="1" s="1"/>
  <c r="FM83" i="1"/>
  <c r="FN82" i="1"/>
  <c r="FO82" i="1" s="1"/>
  <c r="EI50" i="1"/>
  <c r="EJ50" i="1" s="1"/>
  <c r="EY67" i="1"/>
  <c r="FO84" i="1"/>
  <c r="DG62" i="1"/>
  <c r="DG69" i="1"/>
  <c r="EX69" i="1"/>
  <c r="CS48" i="1"/>
  <c r="DR77" i="1"/>
  <c r="CW57" i="1"/>
  <c r="DG66" i="1"/>
  <c r="EY66" i="1" s="1"/>
  <c r="DN74" i="1"/>
  <c r="CS52" i="1"/>
  <c r="DT80" i="1"/>
  <c r="DG63" i="1"/>
  <c r="FK80" i="1"/>
  <c r="CS49" i="1"/>
  <c r="DW82" i="1"/>
  <c r="DS79" i="1"/>
  <c r="DW84" i="1"/>
  <c r="CY59" i="1"/>
  <c r="DG72" i="1"/>
  <c r="CR50" i="1"/>
  <c r="EI45" i="1"/>
  <c r="DG71" i="1"/>
  <c r="EY71" i="1" s="1"/>
  <c r="DV81" i="1"/>
  <c r="FN81" i="1" s="1"/>
  <c r="EX62" i="1"/>
  <c r="CW58" i="1"/>
  <c r="DP76" i="1"/>
  <c r="DG60" i="1"/>
  <c r="DV83" i="1"/>
  <c r="CS44" i="1"/>
  <c r="EK44" i="1" s="1"/>
  <c r="EK49" i="1"/>
  <c r="DG73" i="1"/>
  <c r="CR45" i="1"/>
  <c r="DG68" i="1"/>
  <c r="DN75" i="1"/>
  <c r="DG64" i="1"/>
  <c r="CR47" i="1"/>
  <c r="EJ48" i="1"/>
  <c r="EJ52" i="1"/>
  <c r="EK52" i="1" s="1"/>
  <c r="EN57" i="1"/>
  <c r="EO57" i="1" s="1"/>
  <c r="DG70" i="1"/>
  <c r="FI77" i="1"/>
  <c r="CS51" i="1"/>
  <c r="EI47" i="1"/>
  <c r="CU56" i="1"/>
  <c r="EX70" i="1"/>
  <c r="DG65" i="1"/>
  <c r="EY65" i="1" s="1"/>
  <c r="DG61" i="1"/>
  <c r="EX72" i="1"/>
  <c r="EX73" i="1"/>
  <c r="EY73" i="1" s="1"/>
  <c r="CS53" i="1"/>
  <c r="DH67" i="1"/>
  <c r="FJ79" i="1"/>
  <c r="FK79" i="1" s="1"/>
  <c r="DR78" i="1"/>
  <c r="FJ78" i="1" s="1"/>
  <c r="EX63" i="1"/>
  <c r="CT54" i="1"/>
  <c r="EK54" i="1"/>
  <c r="EL54" i="1" s="1"/>
  <c r="CT55" i="1"/>
  <c r="EL55" i="1" s="1"/>
  <c r="CS46" i="1"/>
  <c r="EP59" i="1"/>
  <c r="FE74" i="1"/>
  <c r="FE75" i="1"/>
  <c r="EO58" i="1" l="1"/>
  <c r="EZ67" i="1"/>
  <c r="EY68" i="1"/>
  <c r="FF74" i="1"/>
  <c r="FJ77" i="1"/>
  <c r="FN83" i="1"/>
  <c r="EY62" i="1"/>
  <c r="EZ62" i="1" s="1"/>
  <c r="FL80" i="1"/>
  <c r="EY72" i="1"/>
  <c r="CT46" i="1"/>
  <c r="DO75" i="1"/>
  <c r="DH71" i="1"/>
  <c r="CZ59" i="1"/>
  <c r="CX57" i="1"/>
  <c r="EJ47" i="1"/>
  <c r="EJ45" i="1"/>
  <c r="EK46" i="1"/>
  <c r="EL46" i="1" s="1"/>
  <c r="DH63" i="1"/>
  <c r="CT48" i="1"/>
  <c r="DH69" i="1"/>
  <c r="CU54" i="1"/>
  <c r="EM54" i="1" s="1"/>
  <c r="CT53" i="1"/>
  <c r="DH61" i="1"/>
  <c r="EY70" i="1"/>
  <c r="EK48" i="1"/>
  <c r="DH64" i="1"/>
  <c r="EK53" i="1"/>
  <c r="EL53" i="1" s="1"/>
  <c r="CT44" i="1"/>
  <c r="DH60" i="1"/>
  <c r="DW81" i="1"/>
  <c r="DT79" i="1"/>
  <c r="CT49" i="1"/>
  <c r="EL49" i="1" s="1"/>
  <c r="DO74" i="1"/>
  <c r="EY61" i="1"/>
  <c r="EY69" i="1"/>
  <c r="EZ69" i="1" s="1"/>
  <c r="DI67" i="1"/>
  <c r="DH65" i="1"/>
  <c r="EZ65" i="1" s="1"/>
  <c r="CV56" i="1"/>
  <c r="EZ71" i="1"/>
  <c r="CS47" i="1"/>
  <c r="FO81" i="1"/>
  <c r="FF75" i="1"/>
  <c r="DS78" i="1"/>
  <c r="FK78" i="1" s="1"/>
  <c r="DH68" i="1"/>
  <c r="CS45" i="1"/>
  <c r="DW83" i="1"/>
  <c r="DQ76" i="1"/>
  <c r="DH72" i="1"/>
  <c r="DH66" i="1"/>
  <c r="EQ59" i="1"/>
  <c r="ER59" i="1" s="1"/>
  <c r="CU55" i="1"/>
  <c r="EY63" i="1"/>
  <c r="EZ73" i="1"/>
  <c r="CT51" i="1"/>
  <c r="DH70" i="1"/>
  <c r="FH76" i="1"/>
  <c r="DH73" i="1"/>
  <c r="CX58" i="1"/>
  <c r="CS50" i="1"/>
  <c r="DX84" i="1"/>
  <c r="DX82" i="1"/>
  <c r="FP82" i="1" s="1"/>
  <c r="DU80" i="1"/>
  <c r="CT52" i="1"/>
  <c r="EY64" i="1"/>
  <c r="DS77" i="1"/>
  <c r="EM56" i="1"/>
  <c r="EN56" i="1" s="1"/>
  <c r="DH62" i="1"/>
  <c r="EK51" i="1"/>
  <c r="FG74" i="1" l="1"/>
  <c r="FM80" i="1"/>
  <c r="EZ72" i="1"/>
  <c r="EZ70" i="1"/>
  <c r="EK45" i="1"/>
  <c r="FI76" i="1"/>
  <c r="EZ63" i="1"/>
  <c r="DY84" i="1"/>
  <c r="CY58" i="1"/>
  <c r="EP58" i="1"/>
  <c r="EQ58" i="1" s="1"/>
  <c r="CU51" i="1"/>
  <c r="CV55" i="1"/>
  <c r="EM55" i="1"/>
  <c r="EN55" i="1" s="1"/>
  <c r="FP84" i="1"/>
  <c r="CT47" i="1"/>
  <c r="CW56" i="1"/>
  <c r="DJ67" i="1"/>
  <c r="CU53" i="1"/>
  <c r="EM53" i="1" s="1"/>
  <c r="CU48" i="1"/>
  <c r="EM46" i="1"/>
  <c r="EK47" i="1"/>
  <c r="EL47" i="1" s="1"/>
  <c r="EL51" i="1"/>
  <c r="CU52" i="1"/>
  <c r="DI72" i="1"/>
  <c r="DX83" i="1"/>
  <c r="DI68" i="1"/>
  <c r="DT78" i="1"/>
  <c r="DP74" i="1"/>
  <c r="DU79" i="1"/>
  <c r="DI60" i="1"/>
  <c r="DI61" i="1"/>
  <c r="FL79" i="1"/>
  <c r="FM79" i="1" s="1"/>
  <c r="EZ60" i="1"/>
  <c r="DA59" i="1"/>
  <c r="ES59" i="1" s="1"/>
  <c r="DT77" i="1"/>
  <c r="DY82" i="1"/>
  <c r="CT50" i="1"/>
  <c r="DI73" i="1"/>
  <c r="DI70" i="1"/>
  <c r="CT45" i="1"/>
  <c r="EK50" i="1"/>
  <c r="EL50" i="1" s="1"/>
  <c r="DI65" i="1"/>
  <c r="FA65" i="1" s="1"/>
  <c r="FA69" i="1"/>
  <c r="DI64" i="1"/>
  <c r="DI69" i="1"/>
  <c r="CY57" i="1"/>
  <c r="DP75" i="1"/>
  <c r="CU46" i="1"/>
  <c r="FO83" i="1"/>
  <c r="FP83" i="1" s="1"/>
  <c r="DI62" i="1"/>
  <c r="EZ64" i="1"/>
  <c r="DV80" i="1"/>
  <c r="DI66" i="1"/>
  <c r="DR76" i="1"/>
  <c r="FK77" i="1"/>
  <c r="FL77" i="1" s="1"/>
  <c r="FG75" i="1"/>
  <c r="EZ66" i="1"/>
  <c r="FA66" i="1" s="1"/>
  <c r="EZ61" i="1"/>
  <c r="FA61" i="1" s="1"/>
  <c r="CU49" i="1"/>
  <c r="EM49" i="1" s="1"/>
  <c r="DX81" i="1"/>
  <c r="CU44" i="1"/>
  <c r="EL48" i="1"/>
  <c r="EM48" i="1" s="1"/>
  <c r="CV54" i="1"/>
  <c r="EN54" i="1" s="1"/>
  <c r="DI63" i="1"/>
  <c r="EL52" i="1"/>
  <c r="EM52" i="1" s="1"/>
  <c r="EL44" i="1"/>
  <c r="EM44" i="1" s="1"/>
  <c r="DI71" i="1"/>
  <c r="FA71" i="1" s="1"/>
  <c r="EP57" i="1"/>
  <c r="EZ68" i="1"/>
  <c r="FA68" i="1" s="1"/>
  <c r="FA67" i="1"/>
  <c r="FB67" i="1" s="1"/>
  <c r="FH74" i="1" l="1"/>
  <c r="FA72" i="1"/>
  <c r="FA60" i="1"/>
  <c r="EM51" i="1"/>
  <c r="EQ57" i="1"/>
  <c r="FH75" i="1"/>
  <c r="DY81" i="1"/>
  <c r="DS76" i="1"/>
  <c r="DJ64" i="1"/>
  <c r="CU45" i="1"/>
  <c r="CX56" i="1"/>
  <c r="CV51" i="1"/>
  <c r="DJ71" i="1"/>
  <c r="DJ63" i="1"/>
  <c r="DJ66" i="1"/>
  <c r="FB66" i="1" s="1"/>
  <c r="DW80" i="1"/>
  <c r="DQ75" i="1"/>
  <c r="FP81" i="1"/>
  <c r="FQ81" i="1" s="1"/>
  <c r="FA63" i="1"/>
  <c r="FB63" i="1" s="1"/>
  <c r="DJ73" i="1"/>
  <c r="DZ82" i="1"/>
  <c r="DJ60" i="1"/>
  <c r="DQ74" i="1"/>
  <c r="DU78" i="1"/>
  <c r="DY83" i="1"/>
  <c r="FQ83" i="1" s="1"/>
  <c r="FA73" i="1"/>
  <c r="FL78" i="1"/>
  <c r="DK67" i="1"/>
  <c r="DZ84" i="1"/>
  <c r="CV44" i="1"/>
  <c r="CV49" i="1"/>
  <c r="EN49" i="1" s="1"/>
  <c r="FA64" i="1"/>
  <c r="DJ69" i="1"/>
  <c r="FB69" i="1" s="1"/>
  <c r="DB59" i="1"/>
  <c r="ET59" i="1" s="1"/>
  <c r="CV53" i="1"/>
  <c r="EN53" i="1" s="1"/>
  <c r="CU47" i="1"/>
  <c r="CW55" i="1"/>
  <c r="EO55" i="1" s="1"/>
  <c r="FN80" i="1"/>
  <c r="CW54" i="1"/>
  <c r="EO54" i="1" s="1"/>
  <c r="FB61" i="1"/>
  <c r="FJ76" i="1"/>
  <c r="FK76" i="1" s="1"/>
  <c r="DJ62" i="1"/>
  <c r="CV46" i="1"/>
  <c r="CZ57" i="1"/>
  <c r="DJ65" i="1"/>
  <c r="DJ70" i="1"/>
  <c r="CU50" i="1"/>
  <c r="DU77" i="1"/>
  <c r="FM77" i="1" s="1"/>
  <c r="EL45" i="1"/>
  <c r="EM45" i="1" s="1"/>
  <c r="DJ61" i="1"/>
  <c r="DV79" i="1"/>
  <c r="FQ82" i="1"/>
  <c r="DJ68" i="1"/>
  <c r="DJ72" i="1"/>
  <c r="CV52" i="1"/>
  <c r="FA62" i="1"/>
  <c r="FB62" i="1" s="1"/>
  <c r="CV48" i="1"/>
  <c r="FA70" i="1"/>
  <c r="FB70" i="1" s="1"/>
  <c r="FQ84" i="1"/>
  <c r="FR84" i="1" s="1"/>
  <c r="CZ58" i="1"/>
  <c r="ER58" i="1" s="1"/>
  <c r="EO56" i="1"/>
  <c r="FI74" i="1" l="1"/>
  <c r="EN51" i="1"/>
  <c r="ER57" i="1"/>
  <c r="FM78" i="1"/>
  <c r="FB73" i="1"/>
  <c r="FO80" i="1"/>
  <c r="FI75" i="1"/>
  <c r="FJ75" i="1" s="1"/>
  <c r="DK72" i="1"/>
  <c r="CV50" i="1"/>
  <c r="CW46" i="1"/>
  <c r="FB72" i="1"/>
  <c r="EM50" i="1"/>
  <c r="EA84" i="1"/>
  <c r="DK64" i="1"/>
  <c r="CV47" i="1"/>
  <c r="EA82" i="1"/>
  <c r="CW51" i="1"/>
  <c r="CV45" i="1"/>
  <c r="CW52" i="1"/>
  <c r="DA57" i="1"/>
  <c r="CW49" i="1"/>
  <c r="DK71" i="1"/>
  <c r="FB71" i="1"/>
  <c r="DZ81" i="1"/>
  <c r="FS84" i="1"/>
  <c r="DK65" i="1"/>
  <c r="CW44" i="1"/>
  <c r="EN46" i="1"/>
  <c r="EO46" i="1" s="1"/>
  <c r="DZ83" i="1"/>
  <c r="FR83" i="1" s="1"/>
  <c r="DR74" i="1"/>
  <c r="DR75" i="1"/>
  <c r="CY56" i="1"/>
  <c r="EP56" i="1"/>
  <c r="DW79" i="1"/>
  <c r="EN44" i="1"/>
  <c r="EO44" i="1" s="1"/>
  <c r="FR81" i="1"/>
  <c r="DK66" i="1"/>
  <c r="EO49" i="1"/>
  <c r="DK68" i="1"/>
  <c r="DV77" i="1"/>
  <c r="DK70" i="1"/>
  <c r="DK62" i="1"/>
  <c r="CX54" i="1"/>
  <c r="DK69" i="1"/>
  <c r="FB68" i="1"/>
  <c r="DV78" i="1"/>
  <c r="DK60" i="1"/>
  <c r="DX80" i="1"/>
  <c r="FB60" i="1"/>
  <c r="DA58" i="1"/>
  <c r="CW48" i="1"/>
  <c r="FR82" i="1"/>
  <c r="FS82" i="1" s="1"/>
  <c r="DK61" i="1"/>
  <c r="EN52" i="1"/>
  <c r="EO52" i="1" s="1"/>
  <c r="CX55" i="1"/>
  <c r="CW53" i="1"/>
  <c r="DC59" i="1"/>
  <c r="FB64" i="1"/>
  <c r="DL67" i="1"/>
  <c r="FN79" i="1"/>
  <c r="DK73" i="1"/>
  <c r="DK63" i="1"/>
  <c r="FC67" i="1"/>
  <c r="EM47" i="1"/>
  <c r="EN47" i="1" s="1"/>
  <c r="FB65" i="1"/>
  <c r="FC65" i="1" s="1"/>
  <c r="DT76" i="1"/>
  <c r="FL76" i="1" s="1"/>
  <c r="EN48" i="1"/>
  <c r="EO48" i="1" s="1"/>
  <c r="EO51" i="1" l="1"/>
  <c r="ES57" i="1"/>
  <c r="ET57" i="1" s="1"/>
  <c r="FC60" i="1"/>
  <c r="FC68" i="1"/>
  <c r="DD59" i="1"/>
  <c r="DL61" i="1"/>
  <c r="DL64" i="1"/>
  <c r="AS84" i="1"/>
  <c r="EB84" i="1"/>
  <c r="EO47" i="1"/>
  <c r="DM67" i="1"/>
  <c r="DY80" i="1"/>
  <c r="DL69" i="1"/>
  <c r="DW77" i="1"/>
  <c r="EU59" i="1"/>
  <c r="DX79" i="1"/>
  <c r="DS74" i="1"/>
  <c r="DL71" i="1"/>
  <c r="DB57" i="1"/>
  <c r="CW45" i="1"/>
  <c r="AS82" i="1"/>
  <c r="EB82" i="1"/>
  <c r="DL72" i="1"/>
  <c r="FD67" i="1"/>
  <c r="AE67" i="1" s="1"/>
  <c r="BV109" i="1" s="1"/>
  <c r="DL73" i="1"/>
  <c r="FC64" i="1"/>
  <c r="FD64" i="1" s="1"/>
  <c r="CX53" i="1"/>
  <c r="DL60" i="1"/>
  <c r="FC73" i="1"/>
  <c r="FD73" i="1" s="1"/>
  <c r="EQ56" i="1"/>
  <c r="CX44" i="1"/>
  <c r="EP44" i="1" s="1"/>
  <c r="DL65" i="1"/>
  <c r="EA81" i="1"/>
  <c r="EO53" i="1"/>
  <c r="FP80" i="1"/>
  <c r="EN50" i="1"/>
  <c r="EO50" i="1" s="1"/>
  <c r="CX46" i="1"/>
  <c r="FJ74" i="1"/>
  <c r="FK74" i="1" s="1"/>
  <c r="DL63" i="1"/>
  <c r="CY55" i="1"/>
  <c r="FS81" i="1"/>
  <c r="FC61" i="1"/>
  <c r="CX51" i="1"/>
  <c r="CW50" i="1"/>
  <c r="EP52" i="1"/>
  <c r="DB58" i="1"/>
  <c r="DW78" i="1"/>
  <c r="DL62" i="1"/>
  <c r="ES58" i="1"/>
  <c r="ET58" i="1" s="1"/>
  <c r="CZ56" i="1"/>
  <c r="CW47" i="1"/>
  <c r="DU76" i="1"/>
  <c r="FM76" i="1" s="1"/>
  <c r="FO79" i="1"/>
  <c r="FP79" i="1" s="1"/>
  <c r="CX48" i="1"/>
  <c r="EP55" i="1"/>
  <c r="CY54" i="1"/>
  <c r="DL70" i="1"/>
  <c r="DL68" i="1"/>
  <c r="DL66" i="1"/>
  <c r="EP54" i="1"/>
  <c r="EQ54" i="1" s="1"/>
  <c r="FC66" i="1"/>
  <c r="FD66" i="1" s="1"/>
  <c r="DS75" i="1"/>
  <c r="FK75" i="1" s="1"/>
  <c r="EA83" i="1"/>
  <c r="FN77" i="1"/>
  <c r="EN45" i="1"/>
  <c r="EO45" i="1" s="1"/>
  <c r="FC71" i="1"/>
  <c r="CX49" i="1"/>
  <c r="CX52" i="1"/>
  <c r="FN78" i="1"/>
  <c r="FO78" i="1" s="1"/>
  <c r="FC70" i="1"/>
  <c r="FC63" i="1"/>
  <c r="FC72" i="1"/>
  <c r="FD72" i="1" s="1"/>
  <c r="FC62" i="1"/>
  <c r="FD62" i="1" s="1"/>
  <c r="FC69" i="1"/>
  <c r="FD69" i="1" s="1"/>
  <c r="FO77" i="1" l="1"/>
  <c r="FP77" i="1" s="1"/>
  <c r="FD70" i="1"/>
  <c r="FD71" i="1"/>
  <c r="FQ80" i="1"/>
  <c r="FR80" i="1" s="1"/>
  <c r="EV59" i="1"/>
  <c r="CY49" i="1"/>
  <c r="AS83" i="1"/>
  <c r="EB83" i="1"/>
  <c r="DX78" i="1"/>
  <c r="FP78" i="1" s="1"/>
  <c r="DM63" i="1"/>
  <c r="EP49" i="1"/>
  <c r="DM68" i="1"/>
  <c r="CZ54" i="1"/>
  <c r="CY48" i="1"/>
  <c r="EP48" i="1"/>
  <c r="EQ48" i="1" s="1"/>
  <c r="ER56" i="1"/>
  <c r="DM60" i="1"/>
  <c r="CJ124" i="1"/>
  <c r="AR82" i="1"/>
  <c r="DT74" i="1"/>
  <c r="FL74" i="1" s="1"/>
  <c r="DM61" i="1"/>
  <c r="FD63" i="1"/>
  <c r="CY52" i="1"/>
  <c r="FD68" i="1"/>
  <c r="AE68" i="1" s="1"/>
  <c r="BV110" i="1" s="1"/>
  <c r="CY51" i="1"/>
  <c r="CZ55" i="1"/>
  <c r="EP53" i="1"/>
  <c r="FD60" i="1"/>
  <c r="DX77" i="1"/>
  <c r="DZ80" i="1"/>
  <c r="DM64" i="1"/>
  <c r="DV76" i="1"/>
  <c r="DA56" i="1"/>
  <c r="EQ52" i="1"/>
  <c r="CY44" i="1"/>
  <c r="CY53" i="1"/>
  <c r="CJ126" i="1"/>
  <c r="AR84" i="1"/>
  <c r="DE59" i="1"/>
  <c r="ER54" i="1"/>
  <c r="DM65" i="1"/>
  <c r="AE64" i="1"/>
  <c r="BV106" i="1" s="1"/>
  <c r="FS83" i="1"/>
  <c r="DC57" i="1"/>
  <c r="EU57" i="1" s="1"/>
  <c r="FD65" i="1"/>
  <c r="AE65" i="1" s="1"/>
  <c r="BV107" i="1" s="1"/>
  <c r="CX47" i="1"/>
  <c r="DT75" i="1"/>
  <c r="DM66" i="1"/>
  <c r="AE66" i="1" s="1"/>
  <c r="DM70" i="1"/>
  <c r="EQ55" i="1"/>
  <c r="DM62" i="1"/>
  <c r="AE62" i="1" s="1"/>
  <c r="DC58" i="1"/>
  <c r="EU58" i="1" s="1"/>
  <c r="CX50" i="1"/>
  <c r="FD61" i="1"/>
  <c r="CY46" i="1"/>
  <c r="AS81" i="1"/>
  <c r="EB81" i="1"/>
  <c r="DM73" i="1"/>
  <c r="AE73" i="1" s="1"/>
  <c r="DM72" i="1"/>
  <c r="AE72" i="1" s="1"/>
  <c r="CX45" i="1"/>
  <c r="EP45" i="1" s="1"/>
  <c r="DM71" i="1"/>
  <c r="DY79" i="1"/>
  <c r="DM69" i="1"/>
  <c r="AE69" i="1" s="1"/>
  <c r="AD67" i="1"/>
  <c r="EP46" i="1"/>
  <c r="EP51" i="1"/>
  <c r="EQ51" i="1" s="1"/>
  <c r="AE70" i="1" l="1"/>
  <c r="BV112" i="1" s="1"/>
  <c r="EW59" i="1"/>
  <c r="AE71" i="1"/>
  <c r="BV113" i="1" s="1"/>
  <c r="EQ49" i="1"/>
  <c r="AD65" i="1"/>
  <c r="AC65" i="1" s="1"/>
  <c r="BV108" i="1"/>
  <c r="AD66" i="1"/>
  <c r="BV111" i="1"/>
  <c r="AD69" i="1"/>
  <c r="BV114" i="1"/>
  <c r="AD72" i="1"/>
  <c r="BV115" i="1"/>
  <c r="AD73" i="1"/>
  <c r="BV104" i="1"/>
  <c r="AD62" i="1"/>
  <c r="BU109" i="1"/>
  <c r="AC67" i="1"/>
  <c r="DZ79" i="1"/>
  <c r="CY50" i="1"/>
  <c r="CY47" i="1"/>
  <c r="CI126" i="1"/>
  <c r="AQ84" i="1"/>
  <c r="CZ53" i="1"/>
  <c r="DW76" i="1"/>
  <c r="AD64" i="1"/>
  <c r="ER55" i="1"/>
  <c r="FQ79" i="1"/>
  <c r="DA54" i="1"/>
  <c r="ES54" i="1" s="1"/>
  <c r="CJ125" i="1"/>
  <c r="FR125" i="1" s="1"/>
  <c r="FR124" i="1" s="1"/>
  <c r="AR83" i="1"/>
  <c r="FN76" i="1"/>
  <c r="FO76" i="1" s="1"/>
  <c r="AE61" i="1"/>
  <c r="DD58" i="1"/>
  <c r="DD57" i="1"/>
  <c r="CZ44" i="1"/>
  <c r="DB56" i="1"/>
  <c r="EA80" i="1"/>
  <c r="EB80" i="1" s="1"/>
  <c r="EQ53" i="1"/>
  <c r="ER53" i="1" s="1"/>
  <c r="CZ51" i="1"/>
  <c r="AE63" i="1"/>
  <c r="DU74" i="1"/>
  <c r="AD68" i="1"/>
  <c r="EQ44" i="1"/>
  <c r="ER44" i="1" s="1"/>
  <c r="CY45" i="1"/>
  <c r="EP47" i="1"/>
  <c r="EQ47" i="1" s="1"/>
  <c r="EV58" i="1"/>
  <c r="DY77" i="1"/>
  <c r="DA55" i="1"/>
  <c r="AS80" i="1"/>
  <c r="CJ122" i="1" s="1"/>
  <c r="FS80" i="1"/>
  <c r="FQ78" i="1"/>
  <c r="CZ46" i="1"/>
  <c r="CZ52" i="1"/>
  <c r="ER52" i="1" s="1"/>
  <c r="AE60" i="1"/>
  <c r="EQ46" i="1"/>
  <c r="CJ123" i="1"/>
  <c r="AR81" i="1"/>
  <c r="DU75" i="1"/>
  <c r="DF59" i="1"/>
  <c r="EP50" i="1"/>
  <c r="EQ50" i="1" s="1"/>
  <c r="CI124" i="1"/>
  <c r="AQ82" i="1"/>
  <c r="ES56" i="1"/>
  <c r="ET56" i="1" s="1"/>
  <c r="CZ48" i="1"/>
  <c r="ER48" i="1" s="1"/>
  <c r="DY78" i="1"/>
  <c r="CZ49" i="1"/>
  <c r="FL75" i="1"/>
  <c r="AD70" i="1" l="1"/>
  <c r="AC70" i="1" s="1"/>
  <c r="ER49" i="1"/>
  <c r="AD71" i="1"/>
  <c r="AC71" i="1" s="1"/>
  <c r="ER46" i="1"/>
  <c r="BU107" i="1"/>
  <c r="FR123" i="1"/>
  <c r="FR122" i="1" s="1"/>
  <c r="AR80" i="1"/>
  <c r="AQ80" i="1" s="1"/>
  <c r="BV102" i="1"/>
  <c r="AD60" i="1"/>
  <c r="EW58" i="1"/>
  <c r="DA51" i="1"/>
  <c r="DE58" i="1"/>
  <c r="ES55" i="1"/>
  <c r="FM75" i="1"/>
  <c r="CH124" i="1"/>
  <c r="AP82" i="1"/>
  <c r="DG59" i="1"/>
  <c r="DV74" i="1"/>
  <c r="DC56" i="1"/>
  <c r="EU56" i="1" s="1"/>
  <c r="DE57" i="1"/>
  <c r="BV103" i="1"/>
  <c r="AD61" i="1"/>
  <c r="BU106" i="1"/>
  <c r="AC64" i="1"/>
  <c r="DA53" i="1"/>
  <c r="ES53" i="1" s="1"/>
  <c r="CZ47" i="1"/>
  <c r="ER47" i="1" s="1"/>
  <c r="EA79" i="1"/>
  <c r="BU114" i="1"/>
  <c r="AC72" i="1"/>
  <c r="BU108" i="1"/>
  <c r="AC66" i="1"/>
  <c r="FM74" i="1"/>
  <c r="DA52" i="1"/>
  <c r="ES52" i="1" s="1"/>
  <c r="DA46" i="1"/>
  <c r="DZ77" i="1"/>
  <c r="FQ77" i="1"/>
  <c r="FR77" i="1" s="1"/>
  <c r="BV105" i="1"/>
  <c r="AD63" i="1"/>
  <c r="ER51" i="1"/>
  <c r="ES51" i="1" s="1"/>
  <c r="EV57" i="1"/>
  <c r="CH126" i="1"/>
  <c r="AP84" i="1"/>
  <c r="BT109" i="1"/>
  <c r="AB67" i="1"/>
  <c r="EX59" i="1"/>
  <c r="DV75" i="1"/>
  <c r="DB55" i="1"/>
  <c r="CZ45" i="1"/>
  <c r="CI125" i="1"/>
  <c r="FQ125" i="1" s="1"/>
  <c r="FQ124" i="1" s="1"/>
  <c r="AQ83" i="1"/>
  <c r="DB54" i="1"/>
  <c r="BU104" i="1"/>
  <c r="AC62" i="1"/>
  <c r="DZ78" i="1"/>
  <c r="CI123" i="1"/>
  <c r="AQ81" i="1"/>
  <c r="DA49" i="1"/>
  <c r="DA48" i="1"/>
  <c r="ES48" i="1" s="1"/>
  <c r="BT107" i="1"/>
  <c r="AB65" i="1"/>
  <c r="BU110" i="1"/>
  <c r="AC68" i="1"/>
  <c r="DA44" i="1"/>
  <c r="ES44" i="1" s="1"/>
  <c r="FP76" i="1"/>
  <c r="FR79" i="1"/>
  <c r="FS79" i="1" s="1"/>
  <c r="DX76" i="1"/>
  <c r="CZ50" i="1"/>
  <c r="ER50" i="1" s="1"/>
  <c r="BU115" i="1"/>
  <c r="AC73" i="1"/>
  <c r="BU111" i="1"/>
  <c r="AC69" i="1"/>
  <c r="EQ45" i="1"/>
  <c r="BU112" i="1" l="1"/>
  <c r="BU113" i="1"/>
  <c r="ES46" i="1"/>
  <c r="FN74" i="1"/>
  <c r="FO74" i="1" s="1"/>
  <c r="ET55" i="1"/>
  <c r="CI122" i="1"/>
  <c r="ES50" i="1"/>
  <c r="CH122" i="1"/>
  <c r="AP80" i="1"/>
  <c r="DC54" i="1"/>
  <c r="DB51" i="1"/>
  <c r="BT113" i="1"/>
  <c r="AB71" i="1"/>
  <c r="CH123" i="1"/>
  <c r="AP81" i="1"/>
  <c r="BT104" i="1"/>
  <c r="AB62" i="1"/>
  <c r="CH125" i="1"/>
  <c r="FP125" i="1" s="1"/>
  <c r="FP124" i="1" s="1"/>
  <c r="AP83" i="1"/>
  <c r="DW75" i="1"/>
  <c r="CG126" i="1"/>
  <c r="AO84" i="1"/>
  <c r="BT112" i="1"/>
  <c r="AB70" i="1"/>
  <c r="DB46" i="1"/>
  <c r="BT108" i="1"/>
  <c r="AB66" i="1"/>
  <c r="AS79" i="1"/>
  <c r="EB79" i="1"/>
  <c r="DF57" i="1"/>
  <c r="DW74" i="1"/>
  <c r="CG124" i="1"/>
  <c r="AO82" i="1"/>
  <c r="BT115" i="1"/>
  <c r="AB73" i="1"/>
  <c r="BT110" i="1"/>
  <c r="AB68" i="1"/>
  <c r="DB49" i="1"/>
  <c r="FQ123" i="1"/>
  <c r="DC55" i="1"/>
  <c r="EY59" i="1"/>
  <c r="DB53" i="1"/>
  <c r="ET53" i="1" s="1"/>
  <c r="BU103" i="1"/>
  <c r="AC61" i="1"/>
  <c r="DF58" i="1"/>
  <c r="EX58" i="1" s="1"/>
  <c r="BU102" i="1"/>
  <c r="AC60" i="1"/>
  <c r="ET54" i="1"/>
  <c r="BT111" i="1"/>
  <c r="AB69" i="1"/>
  <c r="DB48" i="1"/>
  <c r="ET48" i="1" s="1"/>
  <c r="EA78" i="1"/>
  <c r="DA45" i="1"/>
  <c r="DA47" i="1"/>
  <c r="DH59" i="1"/>
  <c r="EV56" i="1"/>
  <c r="DA50" i="1"/>
  <c r="ER45" i="1"/>
  <c r="DY76" i="1"/>
  <c r="DB44" i="1"/>
  <c r="BS107" i="1"/>
  <c r="AA65" i="1"/>
  <c r="FR78" i="1"/>
  <c r="BS109" i="1"/>
  <c r="AA67" i="1"/>
  <c r="EW57" i="1"/>
  <c r="BU105" i="1"/>
  <c r="AC63" i="1"/>
  <c r="EA77" i="1"/>
  <c r="DB52" i="1"/>
  <c r="ET52" i="1" s="1"/>
  <c r="BT114" i="1"/>
  <c r="AB72" i="1"/>
  <c r="BT106" i="1"/>
  <c r="AB64" i="1"/>
  <c r="DD56" i="1"/>
  <c r="FN75" i="1"/>
  <c r="FO75" i="1" s="1"/>
  <c r="ES49" i="1"/>
  <c r="FP123" i="1" l="1"/>
  <c r="FP122" i="1" s="1"/>
  <c r="ET46" i="1"/>
  <c r="EU46" i="1" s="1"/>
  <c r="EZ59" i="1"/>
  <c r="ES45" i="1"/>
  <c r="ET49" i="1"/>
  <c r="FQ122" i="1"/>
  <c r="BS106" i="1"/>
  <c r="AA64" i="1"/>
  <c r="DB47" i="1"/>
  <c r="BT102" i="1"/>
  <c r="AB60" i="1"/>
  <c r="BT103" i="1"/>
  <c r="AB61" i="1"/>
  <c r="DG57" i="1"/>
  <c r="BS112" i="1"/>
  <c r="AA70" i="1"/>
  <c r="BS104" i="1"/>
  <c r="AA62" i="1"/>
  <c r="DC52" i="1"/>
  <c r="FS78" i="1"/>
  <c r="DX75" i="1"/>
  <c r="FP75" i="1" s="1"/>
  <c r="BS113" i="1"/>
  <c r="AA71" i="1"/>
  <c r="DC51" i="1"/>
  <c r="DD54" i="1"/>
  <c r="BS114" i="1"/>
  <c r="AA72" i="1"/>
  <c r="AS77" i="1"/>
  <c r="EB77" i="1"/>
  <c r="EX57" i="1"/>
  <c r="DC44" i="1"/>
  <c r="DI59" i="1"/>
  <c r="DD55" i="1"/>
  <c r="BS110" i="1"/>
  <c r="AA68" i="1"/>
  <c r="DX74" i="1"/>
  <c r="FP74" i="1" s="1"/>
  <c r="CJ121" i="1"/>
  <c r="FR121" i="1" s="1"/>
  <c r="AR79" i="1"/>
  <c r="DC46" i="1"/>
  <c r="CF126" i="1"/>
  <c r="AN84" i="1"/>
  <c r="CG125" i="1"/>
  <c r="FO125" i="1" s="1"/>
  <c r="FO124" i="1" s="1"/>
  <c r="AO83" i="1"/>
  <c r="CG123" i="1"/>
  <c r="AO81" i="1"/>
  <c r="EU55" i="1"/>
  <c r="EV55" i="1" s="1"/>
  <c r="ES47" i="1"/>
  <c r="ET47" i="1" s="1"/>
  <c r="BT105" i="1"/>
  <c r="AB63" i="1"/>
  <c r="DZ76" i="1"/>
  <c r="AS78" i="1"/>
  <c r="EB78" i="1"/>
  <c r="BS115" i="1"/>
  <c r="AA73" i="1"/>
  <c r="BS111" i="1"/>
  <c r="AA69" i="1"/>
  <c r="DC49" i="1"/>
  <c r="DE56" i="1"/>
  <c r="EW56" i="1" s="1"/>
  <c r="BR109" i="1"/>
  <c r="Z67" i="1"/>
  <c r="BR107" i="1"/>
  <c r="Z65" i="1"/>
  <c r="DB50" i="1"/>
  <c r="DB45" i="1"/>
  <c r="DC48" i="1"/>
  <c r="EU54" i="1"/>
  <c r="DG58" i="1"/>
  <c r="DC53" i="1"/>
  <c r="EU53" i="1" s="1"/>
  <c r="CF124" i="1"/>
  <c r="AN82" i="1"/>
  <c r="BS108" i="1"/>
  <c r="AA66" i="1"/>
  <c r="FS77" i="1"/>
  <c r="FQ76" i="1"/>
  <c r="ET51" i="1"/>
  <c r="CG122" i="1"/>
  <c r="AO80" i="1"/>
  <c r="ET44" i="1"/>
  <c r="FA59" i="1" l="1"/>
  <c r="ET45" i="1"/>
  <c r="EU45" i="1" s="1"/>
  <c r="EY57" i="1"/>
  <c r="EU51" i="1"/>
  <c r="FO123" i="1"/>
  <c r="FO122" i="1" s="1"/>
  <c r="CF122" i="1"/>
  <c r="AN80" i="1"/>
  <c r="CE124" i="1"/>
  <c r="AM82" i="1"/>
  <c r="FQ74" i="1"/>
  <c r="DD48" i="1"/>
  <c r="EV46" i="1"/>
  <c r="DY74" i="1"/>
  <c r="DD44" i="1"/>
  <c r="DE54" i="1"/>
  <c r="BS102" i="1"/>
  <c r="AA60" i="1"/>
  <c r="DC47" i="1"/>
  <c r="EU47" i="1" s="1"/>
  <c r="BR108" i="1"/>
  <c r="Z66" i="1"/>
  <c r="DH58" i="1"/>
  <c r="BQ107" i="1"/>
  <c r="Y65" i="1"/>
  <c r="BR111" i="1"/>
  <c r="Z69" i="1"/>
  <c r="BR115" i="1"/>
  <c r="Z73" i="1"/>
  <c r="CJ120" i="1"/>
  <c r="FR120" i="1" s="1"/>
  <c r="AR78" i="1"/>
  <c r="CF123" i="1"/>
  <c r="AN81" i="1"/>
  <c r="CE126" i="1"/>
  <c r="AM84" i="1"/>
  <c r="CI121" i="1"/>
  <c r="FQ121" i="1" s="1"/>
  <c r="AQ79" i="1"/>
  <c r="BR110" i="1"/>
  <c r="Z68" i="1"/>
  <c r="DH57" i="1"/>
  <c r="EU48" i="1"/>
  <c r="EV48" i="1" s="1"/>
  <c r="DD53" i="1"/>
  <c r="BQ109" i="1"/>
  <c r="Y67" i="1"/>
  <c r="EA76" i="1"/>
  <c r="CF125" i="1"/>
  <c r="FN125" i="1" s="1"/>
  <c r="FN124" i="1" s="1"/>
  <c r="AN83" i="1"/>
  <c r="CJ119" i="1"/>
  <c r="AR77" i="1"/>
  <c r="BR113" i="1"/>
  <c r="Z71" i="1"/>
  <c r="FQ75" i="1"/>
  <c r="DC50" i="1"/>
  <c r="DD49" i="1"/>
  <c r="BS105" i="1"/>
  <c r="AA63" i="1"/>
  <c r="DD46" i="1"/>
  <c r="DE55" i="1"/>
  <c r="EW55" i="1" s="1"/>
  <c r="BR114" i="1"/>
  <c r="Z72" i="1"/>
  <c r="BR104" i="1"/>
  <c r="Z62" i="1"/>
  <c r="EU44" i="1"/>
  <c r="FR76" i="1"/>
  <c r="FS76" i="1" s="1"/>
  <c r="EV54" i="1"/>
  <c r="EW54" i="1" s="1"/>
  <c r="DC45" i="1"/>
  <c r="DF56" i="1"/>
  <c r="EX56" i="1" s="1"/>
  <c r="EU49" i="1"/>
  <c r="EV49" i="1" s="1"/>
  <c r="DJ59" i="1"/>
  <c r="ET50" i="1"/>
  <c r="DD51" i="1"/>
  <c r="DY75" i="1"/>
  <c r="DD52" i="1"/>
  <c r="BR112" i="1"/>
  <c r="Z70" i="1"/>
  <c r="BS103" i="1"/>
  <c r="AA61" i="1"/>
  <c r="EU52" i="1"/>
  <c r="BR106" i="1"/>
  <c r="Z64" i="1"/>
  <c r="EY58" i="1"/>
  <c r="EZ58" i="1" s="1"/>
  <c r="EZ57" i="1" l="1"/>
  <c r="FB59" i="1"/>
  <c r="EV51" i="1"/>
  <c r="EW51" i="1" s="1"/>
  <c r="FR119" i="1"/>
  <c r="FN123" i="1"/>
  <c r="FN122" i="1" s="1"/>
  <c r="FA58" i="1"/>
  <c r="DD50" i="1"/>
  <c r="BQ110" i="1"/>
  <c r="Y68" i="1"/>
  <c r="CI120" i="1"/>
  <c r="FQ120" i="1" s="1"/>
  <c r="AQ78" i="1"/>
  <c r="BQ111" i="1"/>
  <c r="Y69" i="1"/>
  <c r="DE44" i="1"/>
  <c r="DE52" i="1"/>
  <c r="DE51" i="1"/>
  <c r="EV44" i="1"/>
  <c r="EW44" i="1" s="1"/>
  <c r="DE46" i="1"/>
  <c r="DI58" i="1"/>
  <c r="BQ112" i="1"/>
  <c r="Y70" i="1"/>
  <c r="EU50" i="1"/>
  <c r="EV50" i="1" s="1"/>
  <c r="DD45" i="1"/>
  <c r="EV45" i="1" s="1"/>
  <c r="BQ104" i="1"/>
  <c r="Y62" i="1"/>
  <c r="DE49" i="1"/>
  <c r="BQ113" i="1"/>
  <c r="Y71" i="1"/>
  <c r="CE125" i="1"/>
  <c r="FM125" i="1" s="1"/>
  <c r="FM124" i="1" s="1"/>
  <c r="AM83" i="1"/>
  <c r="DE53" i="1"/>
  <c r="DI57" i="1"/>
  <c r="CH121" i="1"/>
  <c r="FP121" i="1" s="1"/>
  <c r="AP79" i="1"/>
  <c r="CE123" i="1"/>
  <c r="AM81" i="1"/>
  <c r="BQ115" i="1"/>
  <c r="Y73" i="1"/>
  <c r="BP107" i="1"/>
  <c r="X65" i="1"/>
  <c r="BQ108" i="1"/>
  <c r="Y66" i="1"/>
  <c r="DD47" i="1"/>
  <c r="DF54" i="1"/>
  <c r="DZ74" i="1"/>
  <c r="DE48" i="1"/>
  <c r="EW48" i="1" s="1"/>
  <c r="CD124" i="1"/>
  <c r="AL82" i="1"/>
  <c r="BR103" i="1"/>
  <c r="Z61" i="1"/>
  <c r="DK59" i="1"/>
  <c r="DG56" i="1"/>
  <c r="EY56" i="1" s="1"/>
  <c r="BQ114" i="1"/>
  <c r="Y72" i="1"/>
  <c r="CI119" i="1"/>
  <c r="AQ77" i="1"/>
  <c r="AS76" i="1"/>
  <c r="EB76" i="1"/>
  <c r="CD126" i="1"/>
  <c r="AL84" i="1"/>
  <c r="EW46" i="1"/>
  <c r="CE122" i="1"/>
  <c r="AM80" i="1"/>
  <c r="BQ106" i="1"/>
  <c r="Y64" i="1"/>
  <c r="EV52" i="1"/>
  <c r="EW52" i="1" s="1"/>
  <c r="DZ75" i="1"/>
  <c r="EX54" i="1"/>
  <c r="DF55" i="1"/>
  <c r="BR105" i="1"/>
  <c r="Z63" i="1"/>
  <c r="BP109" i="1"/>
  <c r="X67" i="1"/>
  <c r="BR102" i="1"/>
  <c r="Z60" i="1"/>
  <c r="EV53" i="1"/>
  <c r="EW53" i="1" s="1"/>
  <c r="FM123" i="1" l="1"/>
  <c r="FM122" i="1" s="1"/>
  <c r="FQ119" i="1"/>
  <c r="EA75" i="1"/>
  <c r="DL59" i="1"/>
  <c r="EA74" i="1"/>
  <c r="DE47" i="1"/>
  <c r="DJ57" i="1"/>
  <c r="DF49" i="1"/>
  <c r="CD122" i="1"/>
  <c r="AL80" i="1"/>
  <c r="CH119" i="1"/>
  <c r="AP77" i="1"/>
  <c r="BQ103" i="1"/>
  <c r="Y61" i="1"/>
  <c r="BP115" i="1"/>
  <c r="X73" i="1"/>
  <c r="BP113" i="1"/>
  <c r="X71" i="1"/>
  <c r="EW49" i="1"/>
  <c r="DF51" i="1"/>
  <c r="CH120" i="1"/>
  <c r="FP120" i="1" s="1"/>
  <c r="AP78" i="1"/>
  <c r="FA57" i="1"/>
  <c r="BQ105" i="1"/>
  <c r="Y63" i="1"/>
  <c r="DH56" i="1"/>
  <c r="EZ56" i="1" s="1"/>
  <c r="DF48" i="1"/>
  <c r="DG54" i="1"/>
  <c r="EY54" i="1" s="1"/>
  <c r="DF53" i="1"/>
  <c r="DF46" i="1"/>
  <c r="DF44" i="1"/>
  <c r="EX44" i="1" s="1"/>
  <c r="FC59" i="1"/>
  <c r="CJ118" i="1"/>
  <c r="FR118" i="1" s="1"/>
  <c r="AR76" i="1"/>
  <c r="DE45" i="1"/>
  <c r="FR75" i="1"/>
  <c r="EV47" i="1"/>
  <c r="EW47" i="1" s="1"/>
  <c r="FR74" i="1"/>
  <c r="FS74" i="1" s="1"/>
  <c r="DG55" i="1"/>
  <c r="CC126" i="1"/>
  <c r="AK84" i="1"/>
  <c r="BP108" i="1"/>
  <c r="X66" i="1"/>
  <c r="CG121" i="1"/>
  <c r="FO121" i="1" s="1"/>
  <c r="AO79" i="1"/>
  <c r="BP104" i="1"/>
  <c r="X62" i="1"/>
  <c r="BQ102" i="1"/>
  <c r="Y60" i="1"/>
  <c r="BO109" i="1"/>
  <c r="W67" i="1"/>
  <c r="BP106" i="1"/>
  <c r="X64" i="1"/>
  <c r="EX46" i="1"/>
  <c r="BP114" i="1"/>
  <c r="X72" i="1"/>
  <c r="CC124" i="1"/>
  <c r="AK82" i="1"/>
  <c r="BO107" i="1"/>
  <c r="W65" i="1"/>
  <c r="CD123" i="1"/>
  <c r="AL81" i="1"/>
  <c r="CD125" i="1"/>
  <c r="FL125" i="1" s="1"/>
  <c r="FL124" i="1" s="1"/>
  <c r="AL83" i="1"/>
  <c r="BP112" i="1"/>
  <c r="X70" i="1"/>
  <c r="DJ58" i="1"/>
  <c r="DF52" i="1"/>
  <c r="BP111" i="1"/>
  <c r="X69" i="1"/>
  <c r="BP110" i="1"/>
  <c r="X68" i="1"/>
  <c r="DE50" i="1"/>
  <c r="EW50" i="1" s="1"/>
  <c r="EX55" i="1"/>
  <c r="EY55" i="1" s="1"/>
  <c r="EX49" i="1" l="1"/>
  <c r="FD59" i="1"/>
  <c r="FP119" i="1"/>
  <c r="CC123" i="1"/>
  <c r="AK81" i="1"/>
  <c r="DH55" i="1"/>
  <c r="DK57" i="1"/>
  <c r="BO106" i="1"/>
  <c r="W64" i="1"/>
  <c r="BP102" i="1"/>
  <c r="X60" i="1"/>
  <c r="CB126" i="1"/>
  <c r="AJ84" i="1"/>
  <c r="CI118" i="1"/>
  <c r="FQ118" i="1" s="1"/>
  <c r="AQ76" i="1"/>
  <c r="FB57" i="1"/>
  <c r="BO113" i="1"/>
  <c r="W71" i="1"/>
  <c r="CC122" i="1"/>
  <c r="AK80" i="1"/>
  <c r="BN107" i="1"/>
  <c r="V65" i="1"/>
  <c r="DG53" i="1"/>
  <c r="DG49" i="1"/>
  <c r="DF47" i="1"/>
  <c r="DM59" i="1"/>
  <c r="AE59" i="1" s="1"/>
  <c r="EX53" i="1"/>
  <c r="EY53" i="1" s="1"/>
  <c r="EZ55" i="1"/>
  <c r="DG52" i="1"/>
  <c r="BO112" i="1"/>
  <c r="W70" i="1"/>
  <c r="CB124" i="1"/>
  <c r="AJ82" i="1"/>
  <c r="EX47" i="1"/>
  <c r="CG120" i="1"/>
  <c r="FO120" i="1" s="1"/>
  <c r="AO78" i="1"/>
  <c r="AS75" i="1"/>
  <c r="EB75" i="1"/>
  <c r="BO111" i="1"/>
  <c r="W69" i="1"/>
  <c r="CF121" i="1"/>
  <c r="FN121" i="1" s="1"/>
  <c r="AN79" i="1"/>
  <c r="FS75" i="1"/>
  <c r="DG44" i="1"/>
  <c r="DH54" i="1"/>
  <c r="DI56" i="1"/>
  <c r="BP103" i="1"/>
  <c r="X61" i="1"/>
  <c r="DF50" i="1"/>
  <c r="CC125" i="1"/>
  <c r="FK125" i="1" s="1"/>
  <c r="FK124" i="1" s="1"/>
  <c r="AK83" i="1"/>
  <c r="BO114" i="1"/>
  <c r="W72" i="1"/>
  <c r="BO110" i="1"/>
  <c r="W68" i="1"/>
  <c r="DK58" i="1"/>
  <c r="FL123" i="1"/>
  <c r="FL122" i="1" s="1"/>
  <c r="BN109" i="1"/>
  <c r="V67" i="1"/>
  <c r="BO104" i="1"/>
  <c r="W62" i="1"/>
  <c r="BO108" i="1"/>
  <c r="W66" i="1"/>
  <c r="FB58" i="1"/>
  <c r="FC58" i="1" s="1"/>
  <c r="DF45" i="1"/>
  <c r="DG46" i="1"/>
  <c r="EY46" i="1" s="1"/>
  <c r="DG48" i="1"/>
  <c r="BP105" i="1"/>
  <c r="X63" i="1"/>
  <c r="EX48" i="1"/>
  <c r="EY48" i="1" s="1"/>
  <c r="DG51" i="1"/>
  <c r="BO115" i="1"/>
  <c r="W73" i="1"/>
  <c r="CG119" i="1"/>
  <c r="AO77" i="1"/>
  <c r="EX52" i="1"/>
  <c r="AS74" i="1"/>
  <c r="EB74" i="1"/>
  <c r="EX51" i="1"/>
  <c r="EY51" i="1" s="1"/>
  <c r="EW45" i="1"/>
  <c r="EX45" i="1" s="1"/>
  <c r="FO119" i="1" l="1"/>
  <c r="BV101" i="1"/>
  <c r="AD59" i="1"/>
  <c r="CJ116" i="1"/>
  <c r="AR74" i="1"/>
  <c r="BN115" i="1"/>
  <c r="V73" i="1"/>
  <c r="DH48" i="1"/>
  <c r="EZ48" i="1" s="1"/>
  <c r="BN110" i="1"/>
  <c r="V68" i="1"/>
  <c r="DG50" i="1"/>
  <c r="DH44" i="1"/>
  <c r="CF120" i="1"/>
  <c r="FN120" i="1" s="1"/>
  <c r="AN78" i="1"/>
  <c r="DH52" i="1"/>
  <c r="DH49" i="1"/>
  <c r="BM107" i="1"/>
  <c r="U65" i="1"/>
  <c r="BL107" i="1" s="1"/>
  <c r="BN113" i="1"/>
  <c r="V71" i="1"/>
  <c r="EY52" i="1"/>
  <c r="DG45" i="1"/>
  <c r="BN104" i="1"/>
  <c r="V62" i="1"/>
  <c r="BO103" i="1"/>
  <c r="W61" i="1"/>
  <c r="BN112" i="1"/>
  <c r="V70" i="1"/>
  <c r="CA126" i="1"/>
  <c r="AI84" i="1"/>
  <c r="DI55" i="1"/>
  <c r="EZ51" i="1"/>
  <c r="FK123" i="1"/>
  <c r="FK122" i="1" s="1"/>
  <c r="DI54" i="1"/>
  <c r="CE121" i="1"/>
  <c r="FM121" i="1" s="1"/>
  <c r="AM79" i="1"/>
  <c r="DG47" i="1"/>
  <c r="EY47" i="1" s="1"/>
  <c r="DH53" i="1"/>
  <c r="EZ53" i="1" s="1"/>
  <c r="CB122" i="1"/>
  <c r="AJ80" i="1"/>
  <c r="FC57" i="1"/>
  <c r="FD57" i="1" s="1"/>
  <c r="EY49" i="1"/>
  <c r="EZ49" i="1" s="1"/>
  <c r="EZ54" i="1"/>
  <c r="DJ56" i="1"/>
  <c r="BN111" i="1"/>
  <c r="V69" i="1"/>
  <c r="EY45" i="1"/>
  <c r="BO105" i="1"/>
  <c r="W63" i="1"/>
  <c r="CB125" i="1"/>
  <c r="FJ125" i="1" s="1"/>
  <c r="FJ124" i="1" s="1"/>
  <c r="AJ83" i="1"/>
  <c r="FA55" i="1"/>
  <c r="BN106" i="1"/>
  <c r="V64" i="1"/>
  <c r="DL57" i="1"/>
  <c r="CF119" i="1"/>
  <c r="AN77" i="1"/>
  <c r="DH46" i="1"/>
  <c r="DH51" i="1"/>
  <c r="BN108" i="1"/>
  <c r="V66" i="1"/>
  <c r="BM109" i="1"/>
  <c r="U67" i="1"/>
  <c r="BL109" i="1" s="1"/>
  <c r="DL58" i="1"/>
  <c r="BN114" i="1"/>
  <c r="V72" i="1"/>
  <c r="CJ117" i="1"/>
  <c r="FR117" i="1" s="1"/>
  <c r="AR75" i="1"/>
  <c r="CA124" i="1"/>
  <c r="AI82" i="1"/>
  <c r="CH118" i="1"/>
  <c r="FP118" i="1" s="1"/>
  <c r="AP76" i="1"/>
  <c r="BO102" i="1"/>
  <c r="W60" i="1"/>
  <c r="EY44" i="1"/>
  <c r="EX50" i="1"/>
  <c r="EY50" i="1" s="1"/>
  <c r="CB123" i="1"/>
  <c r="AJ81" i="1"/>
  <c r="FA56" i="1"/>
  <c r="EZ52" i="1" l="1"/>
  <c r="FA52" i="1" s="1"/>
  <c r="FR116" i="1"/>
  <c r="BM114" i="1"/>
  <c r="U72" i="1"/>
  <c r="BL114" i="1" s="1"/>
  <c r="CE119" i="1"/>
  <c r="AM77" i="1"/>
  <c r="BM106" i="1"/>
  <c r="U64" i="1"/>
  <c r="BL106" i="1" s="1"/>
  <c r="BM115" i="1"/>
  <c r="U73" i="1"/>
  <c r="BL115" i="1" s="1"/>
  <c r="EZ50" i="1"/>
  <c r="CI117" i="1"/>
  <c r="FQ117" i="1" s="1"/>
  <c r="AQ75" i="1"/>
  <c r="DK56" i="1"/>
  <c r="DJ54" i="1"/>
  <c r="BM112" i="1"/>
  <c r="U70" i="1"/>
  <c r="BL112" i="1" s="1"/>
  <c r="BM104" i="1"/>
  <c r="U62" i="1"/>
  <c r="BL104" i="1" s="1"/>
  <c r="DI52" i="1"/>
  <c r="DI44" i="1"/>
  <c r="BU101" i="1"/>
  <c r="AC59" i="1"/>
  <c r="FB56" i="1"/>
  <c r="EZ44" i="1"/>
  <c r="FA44" i="1" s="1"/>
  <c r="BM108" i="1"/>
  <c r="U66" i="1"/>
  <c r="BL108" i="1" s="1"/>
  <c r="BN105" i="1"/>
  <c r="V63" i="1"/>
  <c r="BM111" i="1"/>
  <c r="U69" i="1"/>
  <c r="BL111" i="1" s="1"/>
  <c r="CA122" i="1"/>
  <c r="AI80" i="1"/>
  <c r="CD121" i="1"/>
  <c r="FL121" i="1" s="1"/>
  <c r="AL79" i="1"/>
  <c r="DJ55" i="1"/>
  <c r="FB55" i="1" s="1"/>
  <c r="BM113" i="1"/>
  <c r="U71" i="1"/>
  <c r="BL113" i="1" s="1"/>
  <c r="CE120" i="1"/>
  <c r="FM120" i="1" s="1"/>
  <c r="AM78" i="1"/>
  <c r="CI116" i="1"/>
  <c r="AQ74" i="1"/>
  <c r="FJ123" i="1"/>
  <c r="FJ122" i="1" s="1"/>
  <c r="DH45" i="1"/>
  <c r="BM110" i="1"/>
  <c r="U68" i="1"/>
  <c r="BL110" i="1" s="1"/>
  <c r="CG118" i="1"/>
  <c r="FO118" i="1" s="1"/>
  <c r="AO76" i="1"/>
  <c r="DI51" i="1"/>
  <c r="FA51" i="1" s="1"/>
  <c r="DI53" i="1"/>
  <c r="FA53" i="1" s="1"/>
  <c r="CA123" i="1"/>
  <c r="AI81" i="1"/>
  <c r="BN102" i="1"/>
  <c r="V60" i="1"/>
  <c r="BZ124" i="1"/>
  <c r="AH82" i="1"/>
  <c r="FN119" i="1"/>
  <c r="DM58" i="1"/>
  <c r="DI46" i="1"/>
  <c r="DM57" i="1"/>
  <c r="AE57" i="1" s="1"/>
  <c r="BV99" i="1" s="1"/>
  <c r="CA125" i="1"/>
  <c r="FI125" i="1" s="1"/>
  <c r="FI124" i="1" s="1"/>
  <c r="AI83" i="1"/>
  <c r="FA54" i="1"/>
  <c r="DH47" i="1"/>
  <c r="FD58" i="1"/>
  <c r="AE58" i="1" s="1"/>
  <c r="BV100" i="1" s="1"/>
  <c r="BZ126" i="1"/>
  <c r="AH84" i="1"/>
  <c r="BN103" i="1"/>
  <c r="V61" i="1"/>
  <c r="DI49" i="1"/>
  <c r="DH50" i="1"/>
  <c r="DI48" i="1"/>
  <c r="FA48" i="1" s="1"/>
  <c r="EZ46" i="1"/>
  <c r="FA46" i="1" s="1"/>
  <c r="FB54" i="1" l="1"/>
  <c r="FC56" i="1"/>
  <c r="FD56" i="1" s="1"/>
  <c r="AD57" i="1"/>
  <c r="BU99" i="1" s="1"/>
  <c r="FQ116" i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D58" i="1"/>
  <c r="BU100" i="1" s="1"/>
  <c r="DJ49" i="1"/>
  <c r="DI47" i="1"/>
  <c r="CD119" i="1"/>
  <c r="AL77" i="1"/>
  <c r="BM102" i="1"/>
  <c r="U60" i="1"/>
  <c r="BL102" i="1" s="1"/>
  <c r="FB46" i="1"/>
  <c r="DI50" i="1"/>
  <c r="FM119" i="1"/>
  <c r="BZ125" i="1"/>
  <c r="FH125" i="1" s="1"/>
  <c r="FH124" i="1" s="1"/>
  <c r="AH83" i="1"/>
  <c r="DJ51" i="1"/>
  <c r="FA49" i="1"/>
  <c r="FB49" i="1" s="1"/>
  <c r="CD120" i="1"/>
  <c r="FL120" i="1" s="1"/>
  <c r="AL78" i="1"/>
  <c r="DL56" i="1"/>
  <c r="DJ48" i="1"/>
  <c r="DI45" i="1"/>
  <c r="CH116" i="1"/>
  <c r="AP74" i="1"/>
  <c r="BM105" i="1"/>
  <c r="U63" i="1"/>
  <c r="BL105" i="1" s="1"/>
  <c r="BT101" i="1"/>
  <c r="AB59" i="1"/>
  <c r="EZ47" i="1"/>
  <c r="FA47" i="1" s="1"/>
  <c r="BM103" i="1"/>
  <c r="U61" i="1"/>
  <c r="BL103" i="1" s="1"/>
  <c r="CC121" i="1"/>
  <c r="FK121" i="1" s="1"/>
  <c r="AK79" i="1"/>
  <c r="DJ52" i="1"/>
  <c r="EZ45" i="1"/>
  <c r="BY126" i="1"/>
  <c r="AG84" i="1"/>
  <c r="FI123" i="1"/>
  <c r="FI122" i="1" s="1"/>
  <c r="DJ46" i="1"/>
  <c r="BY124" i="1"/>
  <c r="AG82" i="1"/>
  <c r="BZ123" i="1"/>
  <c r="AH81" i="1"/>
  <c r="DJ53" i="1"/>
  <c r="CF118" i="1"/>
  <c r="FN118" i="1" s="1"/>
  <c r="AN76" i="1"/>
  <c r="DK55" i="1"/>
  <c r="BZ122" i="1"/>
  <c r="AH80" i="1"/>
  <c r="DJ44" i="1"/>
  <c r="FB44" i="1" s="1"/>
  <c r="DK54" i="1"/>
  <c r="CH117" i="1"/>
  <c r="FP117" i="1" s="1"/>
  <c r="AP75" i="1"/>
  <c r="FC54" i="1" l="1"/>
  <c r="AC58" i="1"/>
  <c r="BT100" i="1" s="1"/>
  <c r="AC57" i="1"/>
  <c r="AB57" i="1" s="1"/>
  <c r="FL119" i="1"/>
  <c r="FP116" i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FH123" i="1"/>
  <c r="FH122" i="1" s="1"/>
  <c r="BY122" i="1"/>
  <c r="AG80" i="1"/>
  <c r="DK53" i="1"/>
  <c r="BX126" i="1"/>
  <c r="AF84" i="1"/>
  <c r="DK52" i="1"/>
  <c r="BY125" i="1"/>
  <c r="FG125" i="1" s="1"/>
  <c r="FG124" i="1" s="1"/>
  <c r="AG83" i="1"/>
  <c r="DJ50" i="1"/>
  <c r="CG117" i="1"/>
  <c r="FO117" i="1" s="1"/>
  <c r="AO75" i="1"/>
  <c r="CE118" i="1"/>
  <c r="FM118" i="1" s="1"/>
  <c r="AM76" i="1"/>
  <c r="CB121" i="1"/>
  <c r="FJ121" i="1" s="1"/>
  <c r="AJ79" i="1"/>
  <c r="BS101" i="1"/>
  <c r="AA59" i="1"/>
  <c r="CG116" i="1"/>
  <c r="AO74" i="1"/>
  <c r="DK48" i="1"/>
  <c r="FA45" i="1"/>
  <c r="CC120" i="1"/>
  <c r="FK120" i="1" s="1"/>
  <c r="AK78" i="1"/>
  <c r="DK51" i="1"/>
  <c r="FA50" i="1"/>
  <c r="FB50" i="1" s="1"/>
  <c r="CC119" i="1"/>
  <c r="AK77" i="1"/>
  <c r="FB48" i="1"/>
  <c r="DL54" i="1"/>
  <c r="DJ45" i="1"/>
  <c r="FC49" i="1"/>
  <c r="BY123" i="1"/>
  <c r="AG81" i="1"/>
  <c r="DK49" i="1"/>
  <c r="DK44" i="1"/>
  <c r="DK46" i="1"/>
  <c r="DL55" i="1"/>
  <c r="BX124" i="1"/>
  <c r="AF82" i="1"/>
  <c r="FB52" i="1"/>
  <c r="FC52" i="1" s="1"/>
  <c r="FB53" i="1"/>
  <c r="DM56" i="1"/>
  <c r="AE56" i="1" s="1"/>
  <c r="FB51" i="1"/>
  <c r="DJ47" i="1"/>
  <c r="FC55" i="1"/>
  <c r="FD55" i="1" s="1"/>
  <c r="FC53" i="1" l="1"/>
  <c r="BT99" i="1"/>
  <c r="AB58" i="1"/>
  <c r="FG123" i="1"/>
  <c r="FG122" i="1" s="1"/>
  <c r="BV98" i="1"/>
  <c r="AD56" i="1"/>
  <c r="DL44" i="1"/>
  <c r="DL51" i="1"/>
  <c r="DL48" i="1"/>
  <c r="BW126" i="1"/>
  <c r="AE84" i="1"/>
  <c r="BX122" i="1"/>
  <c r="AF80" i="1"/>
  <c r="DK47" i="1"/>
  <c r="CB120" i="1"/>
  <c r="AJ78" i="1"/>
  <c r="CF116" i="1"/>
  <c r="AN74" i="1"/>
  <c r="CF117" i="1"/>
  <c r="FN117" i="1" s="1"/>
  <c r="AN75" i="1"/>
  <c r="FC44" i="1"/>
  <c r="FC51" i="1"/>
  <c r="DL49" i="1"/>
  <c r="DK45" i="1"/>
  <c r="FC48" i="1"/>
  <c r="FD48" i="1" s="1"/>
  <c r="FB45" i="1"/>
  <c r="FJ120" i="1"/>
  <c r="FO116" i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DK50" i="1"/>
  <c r="BW124" i="1"/>
  <c r="AE82" i="1"/>
  <c r="FD49" i="1"/>
  <c r="DM54" i="1"/>
  <c r="FK119" i="1"/>
  <c r="CA121" i="1"/>
  <c r="FI121" i="1" s="1"/>
  <c r="AI79" i="1"/>
  <c r="DL46" i="1"/>
  <c r="BX123" i="1"/>
  <c r="AF81" i="1"/>
  <c r="DM55" i="1"/>
  <c r="AE55" i="1" s="1"/>
  <c r="FC46" i="1"/>
  <c r="FB47" i="1"/>
  <c r="FC47" i="1" s="1"/>
  <c r="CB119" i="1"/>
  <c r="AJ77" i="1"/>
  <c r="BS99" i="1"/>
  <c r="AA57" i="1"/>
  <c r="BR101" i="1"/>
  <c r="Z59" i="1"/>
  <c r="CD118" i="1"/>
  <c r="FL118" i="1" s="1"/>
  <c r="AL76" i="1"/>
  <c r="BS100" i="1"/>
  <c r="AA58" i="1"/>
  <c r="BX125" i="1"/>
  <c r="FF125" i="1" s="1"/>
  <c r="FF124" i="1" s="1"/>
  <c r="AF83" i="1"/>
  <c r="DL52" i="1"/>
  <c r="DL53" i="1"/>
  <c r="FD54" i="1"/>
  <c r="AE54" i="1" s="1"/>
  <c r="BV96" i="1" s="1"/>
  <c r="FD53" i="1" l="1"/>
  <c r="FD44" i="1"/>
  <c r="AE44" i="1" s="1"/>
  <c r="BV86" i="1" s="1"/>
  <c r="FF123" i="1"/>
  <c r="FF122" i="1" s="1"/>
  <c r="BV97" i="1"/>
  <c r="AD55" i="1"/>
  <c r="DM52" i="1"/>
  <c r="FJ119" i="1"/>
  <c r="DL45" i="1"/>
  <c r="DM44" i="1"/>
  <c r="BW125" i="1"/>
  <c r="FE125" i="1" s="1"/>
  <c r="FE124" i="1" s="1"/>
  <c r="AE83" i="1"/>
  <c r="CC118" i="1"/>
  <c r="FK118" i="1" s="1"/>
  <c r="AK76" i="1"/>
  <c r="BR99" i="1"/>
  <c r="Z57" i="1"/>
  <c r="FC45" i="1"/>
  <c r="CE117" i="1"/>
  <c r="FM117" i="1" s="1"/>
  <c r="AM75" i="1"/>
  <c r="DL47" i="1"/>
  <c r="FD46" i="1"/>
  <c r="BW123" i="1"/>
  <c r="AE81" i="1"/>
  <c r="FD52" i="1"/>
  <c r="AE52" i="1" s="1"/>
  <c r="BV94" i="1" s="1"/>
  <c r="AD54" i="1"/>
  <c r="DL50" i="1"/>
  <c r="DM49" i="1"/>
  <c r="AE49" i="1" s="1"/>
  <c r="FN116" i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BW122" i="1"/>
  <c r="AE80" i="1"/>
  <c r="BU98" i="1"/>
  <c r="AC56" i="1"/>
  <c r="BV126" i="1"/>
  <c r="AD84" i="1"/>
  <c r="FD47" i="1"/>
  <c r="DM46" i="1"/>
  <c r="CA120" i="1"/>
  <c r="FI120" i="1" s="1"/>
  <c r="AI78" i="1"/>
  <c r="DM51" i="1"/>
  <c r="DM53" i="1"/>
  <c r="BR100" i="1"/>
  <c r="Z58" i="1"/>
  <c r="BQ101" i="1"/>
  <c r="Y59" i="1"/>
  <c r="CA119" i="1"/>
  <c r="AI77" i="1"/>
  <c r="BZ121" i="1"/>
  <c r="FH121" i="1" s="1"/>
  <c r="AH79" i="1"/>
  <c r="BV124" i="1"/>
  <c r="AD82" i="1"/>
  <c r="FD51" i="1"/>
  <c r="AE51" i="1" s="1"/>
  <c r="BV93" i="1" s="1"/>
  <c r="CE116" i="1"/>
  <c r="AM74" i="1"/>
  <c r="FC50" i="1"/>
  <c r="FD50" i="1" s="1"/>
  <c r="DM48" i="1"/>
  <c r="AE48" i="1" s="1"/>
  <c r="AE53" i="1" l="1"/>
  <c r="AD53" i="1" s="1"/>
  <c r="FI119" i="1"/>
  <c r="FM116" i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FE123" i="1"/>
  <c r="FE122" i="1" s="1"/>
  <c r="BV91" i="1"/>
  <c r="AD49" i="1"/>
  <c r="BV90" i="1"/>
  <c r="AD48" i="1"/>
  <c r="CD117" i="1"/>
  <c r="FL117" i="1" s="1"/>
  <c r="AL75" i="1"/>
  <c r="BQ100" i="1"/>
  <c r="Y58" i="1"/>
  <c r="DM45" i="1"/>
  <c r="BV122" i="1"/>
  <c r="AD80" i="1"/>
  <c r="FD45" i="1"/>
  <c r="CB118" i="1"/>
  <c r="FJ118" i="1" s="1"/>
  <c r="AJ76" i="1"/>
  <c r="AD44" i="1"/>
  <c r="BU97" i="1"/>
  <c r="AC55" i="1"/>
  <c r="BU126" i="1"/>
  <c r="AC84" i="1"/>
  <c r="BT98" i="1"/>
  <c r="AB56" i="1"/>
  <c r="BQ99" i="1"/>
  <c r="Y57" i="1"/>
  <c r="BV125" i="1"/>
  <c r="FD125" i="1" s="1"/>
  <c r="FD124" i="1" s="1"/>
  <c r="AD83" i="1"/>
  <c r="AD52" i="1"/>
  <c r="BU124" i="1"/>
  <c r="AC82" i="1"/>
  <c r="BZ119" i="1"/>
  <c r="AH77" i="1"/>
  <c r="AD51" i="1"/>
  <c r="DM50" i="1"/>
  <c r="AE50" i="1" s="1"/>
  <c r="BV123" i="1"/>
  <c r="AD81" i="1"/>
  <c r="CD116" i="1"/>
  <c r="AL74" i="1"/>
  <c r="BY121" i="1"/>
  <c r="FG121" i="1" s="1"/>
  <c r="AG79" i="1"/>
  <c r="BP101" i="1"/>
  <c r="X59" i="1"/>
  <c r="BZ120" i="1"/>
  <c r="FH120" i="1" s="1"/>
  <c r="AH78" i="1"/>
  <c r="BU96" i="1"/>
  <c r="AC54" i="1"/>
  <c r="AE46" i="1"/>
  <c r="DM47" i="1"/>
  <c r="AE47" i="1" s="1"/>
  <c r="BV95" i="1" l="1"/>
  <c r="AE45" i="1"/>
  <c r="BV87" i="1" s="1"/>
  <c r="FD123" i="1"/>
  <c r="FD122" i="1" s="1"/>
  <c r="BV92" i="1"/>
  <c r="AD50" i="1"/>
  <c r="BV89" i="1"/>
  <c r="AD47" i="1"/>
  <c r="BU125" i="1"/>
  <c r="FC125" i="1" s="1"/>
  <c r="FC124" i="1" s="1"/>
  <c r="AC83" i="1"/>
  <c r="BT97" i="1"/>
  <c r="AB55" i="1"/>
  <c r="BV88" i="1"/>
  <c r="AD46" i="1"/>
  <c r="BY120" i="1"/>
  <c r="FG120" i="1" s="1"/>
  <c r="AG78" i="1"/>
  <c r="BX121" i="1"/>
  <c r="FF121" i="1" s="1"/>
  <c r="AF79" i="1"/>
  <c r="BT124" i="1"/>
  <c r="AB82" i="1"/>
  <c r="BU90" i="1"/>
  <c r="AC48" i="1"/>
  <c r="BU95" i="1"/>
  <c r="AC53" i="1"/>
  <c r="BT96" i="1"/>
  <c r="AB54" i="1"/>
  <c r="BU123" i="1"/>
  <c r="AC81" i="1"/>
  <c r="BU93" i="1"/>
  <c r="AC51" i="1"/>
  <c r="BP99" i="1"/>
  <c r="X57" i="1"/>
  <c r="BT126" i="1"/>
  <c r="AB84" i="1"/>
  <c r="CC117" i="1"/>
  <c r="FK117" i="1" s="1"/>
  <c r="AK75" i="1"/>
  <c r="BS98" i="1"/>
  <c r="AA56" i="1"/>
  <c r="CA118" i="1"/>
  <c r="FI118" i="1" s="1"/>
  <c r="AI76" i="1"/>
  <c r="FH119" i="1"/>
  <c r="BO101" i="1"/>
  <c r="W59" i="1"/>
  <c r="CC116" i="1"/>
  <c r="AK74" i="1"/>
  <c r="BY119" i="1"/>
  <c r="AG77" i="1"/>
  <c r="BU94" i="1"/>
  <c r="AC52" i="1"/>
  <c r="BU86" i="1"/>
  <c r="AC44" i="1"/>
  <c r="BU122" i="1"/>
  <c r="AC80" i="1"/>
  <c r="BP100" i="1"/>
  <c r="X58" i="1"/>
  <c r="FL116" i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BU91" i="1"/>
  <c r="AC49" i="1"/>
  <c r="AD45" i="1" l="1"/>
  <c r="AC45" i="1" s="1"/>
  <c r="BT87" i="1" s="1"/>
  <c r="FK116" i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FG119" i="1"/>
  <c r="BO100" i="1"/>
  <c r="W58" i="1"/>
  <c r="BX119" i="1"/>
  <c r="AF77" i="1"/>
  <c r="BZ118" i="1"/>
  <c r="FH118" i="1" s="1"/>
  <c r="AH76" i="1"/>
  <c r="BO99" i="1"/>
  <c r="W57" i="1"/>
  <c r="BT95" i="1"/>
  <c r="AB53" i="1"/>
  <c r="BW121" i="1"/>
  <c r="FE121" i="1" s="1"/>
  <c r="AE79" i="1"/>
  <c r="BU88" i="1"/>
  <c r="AC46" i="1"/>
  <c r="BT125" i="1"/>
  <c r="FB125" i="1" s="1"/>
  <c r="FB124" i="1" s="1"/>
  <c r="AB83" i="1"/>
  <c r="BU92" i="1"/>
  <c r="AC50" i="1"/>
  <c r="BT122" i="1"/>
  <c r="AB80" i="1"/>
  <c r="BT94" i="1"/>
  <c r="AB52" i="1"/>
  <c r="CB116" i="1"/>
  <c r="AJ74" i="1"/>
  <c r="BR98" i="1"/>
  <c r="Z56" i="1"/>
  <c r="BS126" i="1"/>
  <c r="AA84" i="1"/>
  <c r="BT93" i="1"/>
  <c r="AB51" i="1"/>
  <c r="FC123" i="1"/>
  <c r="FC122" i="1" s="1"/>
  <c r="BT86" i="1"/>
  <c r="AB44" i="1"/>
  <c r="BN101" i="1"/>
  <c r="V59" i="1"/>
  <c r="CB117" i="1"/>
  <c r="FJ117" i="1" s="1"/>
  <c r="AJ75" i="1"/>
  <c r="BT123" i="1"/>
  <c r="AB81" i="1"/>
  <c r="BT91" i="1"/>
  <c r="AB49" i="1"/>
  <c r="BS96" i="1"/>
  <c r="AA54" i="1"/>
  <c r="BT90" i="1"/>
  <c r="AB48" i="1"/>
  <c r="BS124" i="1"/>
  <c r="AA82" i="1"/>
  <c r="BX120" i="1"/>
  <c r="FF120" i="1" s="1"/>
  <c r="AF78" i="1"/>
  <c r="BS97" i="1"/>
  <c r="AA55" i="1"/>
  <c r="BU89" i="1"/>
  <c r="AC47" i="1"/>
  <c r="AB45" i="1" l="1"/>
  <c r="BS87" i="1" s="1"/>
  <c r="BU87" i="1"/>
  <c r="FF119" i="1"/>
  <c r="FJ116" i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BW120" i="1"/>
  <c r="FE120" i="1" s="1"/>
  <c r="AE78" i="1"/>
  <c r="BS123" i="1"/>
  <c r="AA81" i="1"/>
  <c r="BM101" i="1"/>
  <c r="U59" i="1"/>
  <c r="BR126" i="1"/>
  <c r="Z84" i="1"/>
  <c r="CA116" i="1"/>
  <c r="AI74" i="1"/>
  <c r="BS122" i="1"/>
  <c r="AA80" i="1"/>
  <c r="BS125" i="1"/>
  <c r="FA125" i="1" s="1"/>
  <c r="FA124" i="1" s="1"/>
  <c r="AA83" i="1"/>
  <c r="BV121" i="1"/>
  <c r="FD121" i="1" s="1"/>
  <c r="AD79" i="1"/>
  <c r="BS95" i="1"/>
  <c r="AA53" i="1"/>
  <c r="BY118" i="1"/>
  <c r="FG118" i="1" s="1"/>
  <c r="AG76" i="1"/>
  <c r="BN100" i="1"/>
  <c r="V58" i="1"/>
  <c r="BR97" i="1"/>
  <c r="Z55" i="1"/>
  <c r="BR124" i="1"/>
  <c r="Z82" i="1"/>
  <c r="BR96" i="1"/>
  <c r="Z54" i="1"/>
  <c r="BS91" i="1"/>
  <c r="AA49" i="1"/>
  <c r="CA117" i="1"/>
  <c r="FI117" i="1" s="1"/>
  <c r="AI75" i="1"/>
  <c r="BS86" i="1"/>
  <c r="AA44" i="1"/>
  <c r="BS93" i="1"/>
  <c r="AA51" i="1"/>
  <c r="BQ98" i="1"/>
  <c r="Y56" i="1"/>
  <c r="FB123" i="1"/>
  <c r="FB122" i="1" s="1"/>
  <c r="BT89" i="1"/>
  <c r="AB47" i="1"/>
  <c r="BS90" i="1"/>
  <c r="AA48" i="1"/>
  <c r="BS94" i="1"/>
  <c r="AA52" i="1"/>
  <c r="BT92" i="1"/>
  <c r="AB50" i="1"/>
  <c r="BT88" i="1"/>
  <c r="AB46" i="1"/>
  <c r="BN99" i="1"/>
  <c r="V57" i="1"/>
  <c r="BW119" i="1"/>
  <c r="AE77" i="1"/>
  <c r="AA45" i="1" l="1"/>
  <c r="Z45" i="1" s="1"/>
  <c r="FA123" i="1"/>
  <c r="FA122" i="1" s="1"/>
  <c r="BS89" i="1"/>
  <c r="AA47" i="1"/>
  <c r="BR86" i="1"/>
  <c r="Z44" i="1"/>
  <c r="BQ124" i="1"/>
  <c r="Y82" i="1"/>
  <c r="BR95" i="1"/>
  <c r="Z53" i="1"/>
  <c r="BZ116" i="1"/>
  <c r="AH74" i="1"/>
  <c r="BL101" i="1"/>
  <c r="T59" i="1"/>
  <c r="BV120" i="1"/>
  <c r="FD120" i="1" s="1"/>
  <c r="AD78" i="1"/>
  <c r="BR90" i="1"/>
  <c r="Z48" i="1"/>
  <c r="FE119" i="1"/>
  <c r="BR93" i="1"/>
  <c r="Z51" i="1"/>
  <c r="BZ117" i="1"/>
  <c r="FH117" i="1" s="1"/>
  <c r="AH75" i="1"/>
  <c r="BQ96" i="1"/>
  <c r="Y54" i="1"/>
  <c r="BQ97" i="1"/>
  <c r="Y55" i="1"/>
  <c r="BX118" i="1"/>
  <c r="FF118" i="1" s="1"/>
  <c r="AF76" i="1"/>
  <c r="BU121" i="1"/>
  <c r="FC121" i="1" s="1"/>
  <c r="AC79" i="1"/>
  <c r="BR122" i="1"/>
  <c r="Z80" i="1"/>
  <c r="BQ126" i="1"/>
  <c r="Y84" i="1"/>
  <c r="BR123" i="1"/>
  <c r="Z81" i="1"/>
  <c r="BP98" i="1"/>
  <c r="X56" i="1"/>
  <c r="BR91" i="1"/>
  <c r="Z49" i="1"/>
  <c r="BM100" i="1"/>
  <c r="U58" i="1"/>
  <c r="BR125" i="1"/>
  <c r="EZ125" i="1" s="1"/>
  <c r="EZ124" i="1" s="1"/>
  <c r="EZ123" i="1" s="1"/>
  <c r="EZ122" i="1" s="1"/>
  <c r="Z83" i="1"/>
  <c r="BV119" i="1"/>
  <c r="AD77" i="1"/>
  <c r="BS92" i="1"/>
  <c r="AA50" i="1"/>
  <c r="BM99" i="1"/>
  <c r="U57" i="1"/>
  <c r="BS88" i="1"/>
  <c r="AA46" i="1"/>
  <c r="BR94" i="1"/>
  <c r="Z52" i="1"/>
  <c r="FI116" i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BR87" i="1" l="1"/>
  <c r="FH116" i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FD119" i="1"/>
  <c r="BL99" i="1"/>
  <c r="T57" i="1"/>
  <c r="BL100" i="1"/>
  <c r="T58" i="1"/>
  <c r="BP126" i="1"/>
  <c r="X84" i="1"/>
  <c r="BP97" i="1"/>
  <c r="X55" i="1"/>
  <c r="BK101" i="1"/>
  <c r="S59" i="1"/>
  <c r="BQ86" i="1"/>
  <c r="Y44" i="1"/>
  <c r="BQ90" i="1"/>
  <c r="Y48" i="1"/>
  <c r="BR88" i="1"/>
  <c r="Z46" i="1"/>
  <c r="BR92" i="1"/>
  <c r="Z50" i="1"/>
  <c r="BQ125" i="1"/>
  <c r="EY125" i="1" s="1"/>
  <c r="EY124" i="1" s="1"/>
  <c r="Y83" i="1"/>
  <c r="BQ91" i="1"/>
  <c r="Y49" i="1"/>
  <c r="BQ123" i="1"/>
  <c r="Y81" i="1"/>
  <c r="BQ122" i="1"/>
  <c r="Y80" i="1"/>
  <c r="BW118" i="1"/>
  <c r="FE118" i="1" s="1"/>
  <c r="AE76" i="1"/>
  <c r="BP96" i="1"/>
  <c r="X54" i="1"/>
  <c r="BQ93" i="1"/>
  <c r="Y51" i="1"/>
  <c r="BQ87" i="1"/>
  <c r="Y45" i="1"/>
  <c r="BY116" i="1"/>
  <c r="AG74" i="1"/>
  <c r="BP124" i="1"/>
  <c r="X82" i="1"/>
  <c r="BR89" i="1"/>
  <c r="Z47" i="1"/>
  <c r="BQ94" i="1"/>
  <c r="Y52" i="1"/>
  <c r="BU119" i="1"/>
  <c r="AC77" i="1"/>
  <c r="BO98" i="1"/>
  <c r="W56" i="1"/>
  <c r="BT121" i="1"/>
  <c r="FB121" i="1" s="1"/>
  <c r="AB79" i="1"/>
  <c r="BY117" i="1"/>
  <c r="FG117" i="1" s="1"/>
  <c r="AG75" i="1"/>
  <c r="BQ95" i="1"/>
  <c r="Y53" i="1"/>
  <c r="BU120" i="1"/>
  <c r="FC120" i="1" s="1"/>
  <c r="AC78" i="1"/>
  <c r="FC119" i="1" l="1"/>
  <c r="FG116" i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BX117" i="1"/>
  <c r="FF117" i="1" s="1"/>
  <c r="AF75" i="1"/>
  <c r="BP94" i="1"/>
  <c r="X52" i="1"/>
  <c r="BP87" i="1"/>
  <c r="X45" i="1"/>
  <c r="BP122" i="1"/>
  <c r="X80" i="1"/>
  <c r="BQ92" i="1"/>
  <c r="Y50" i="1"/>
  <c r="BJ101" i="1"/>
  <c r="R59" i="1"/>
  <c r="BT120" i="1"/>
  <c r="FB120" i="1" s="1"/>
  <c r="AB78" i="1"/>
  <c r="BO126" i="1"/>
  <c r="W84" i="1"/>
  <c r="BK99" i="1"/>
  <c r="S57" i="1"/>
  <c r="BP95" i="1"/>
  <c r="X53" i="1"/>
  <c r="BS121" i="1"/>
  <c r="FA121" i="1" s="1"/>
  <c r="AA79" i="1"/>
  <c r="BT119" i="1"/>
  <c r="AB77" i="1"/>
  <c r="BQ89" i="1"/>
  <c r="Y47" i="1"/>
  <c r="BX116" i="1"/>
  <c r="AF74" i="1"/>
  <c r="BP93" i="1"/>
  <c r="X51" i="1"/>
  <c r="BV118" i="1"/>
  <c r="FD118" i="1" s="1"/>
  <c r="AD76" i="1"/>
  <c r="BP123" i="1"/>
  <c r="X81" i="1"/>
  <c r="BP125" i="1"/>
  <c r="EX125" i="1" s="1"/>
  <c r="EX124" i="1" s="1"/>
  <c r="X83" i="1"/>
  <c r="BQ88" i="1"/>
  <c r="Y46" i="1"/>
  <c r="BP86" i="1"/>
  <c r="X44" i="1"/>
  <c r="BN98" i="1"/>
  <c r="V56" i="1"/>
  <c r="BO124" i="1"/>
  <c r="W82" i="1"/>
  <c r="BO96" i="1"/>
  <c r="W54" i="1"/>
  <c r="BP91" i="1"/>
  <c r="X49" i="1"/>
  <c r="BP90" i="1"/>
  <c r="X48" i="1"/>
  <c r="EY123" i="1"/>
  <c r="EY122" i="1" s="1"/>
  <c r="BO97" i="1"/>
  <c r="W55" i="1"/>
  <c r="BK100" i="1"/>
  <c r="ES100" i="1" s="1"/>
  <c r="S58" i="1"/>
  <c r="ES99" i="1" l="1"/>
  <c r="EX123" i="1"/>
  <c r="EX122" i="1" s="1"/>
  <c r="BO90" i="1"/>
  <c r="W48" i="1"/>
  <c r="BM98" i="1"/>
  <c r="U56" i="1"/>
  <c r="BP88" i="1"/>
  <c r="X46" i="1"/>
  <c r="BO123" i="1"/>
  <c r="W81" i="1"/>
  <c r="BO93" i="1"/>
  <c r="W51" i="1"/>
  <c r="BP89" i="1"/>
  <c r="X47" i="1"/>
  <c r="BR121" i="1"/>
  <c r="EZ121" i="1" s="1"/>
  <c r="Z79" i="1"/>
  <c r="BJ99" i="1"/>
  <c r="R57" i="1"/>
  <c r="BS120" i="1"/>
  <c r="FA120" i="1" s="1"/>
  <c r="AA78" i="1"/>
  <c r="BP92" i="1"/>
  <c r="X50" i="1"/>
  <c r="BO87" i="1"/>
  <c r="W45" i="1"/>
  <c r="BW117" i="1"/>
  <c r="FE117" i="1" s="1"/>
  <c r="AE75" i="1"/>
  <c r="BJ100" i="1"/>
  <c r="ER100" i="1" s="1"/>
  <c r="R58" i="1"/>
  <c r="FF116" i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BN97" i="1"/>
  <c r="V55" i="1"/>
  <c r="BN96" i="1"/>
  <c r="V54" i="1"/>
  <c r="FB119" i="1"/>
  <c r="BO91" i="1"/>
  <c r="W49" i="1"/>
  <c r="BN124" i="1"/>
  <c r="V82" i="1"/>
  <c r="BO86" i="1"/>
  <c r="W44" i="1"/>
  <c r="BO125" i="1"/>
  <c r="EW125" i="1" s="1"/>
  <c r="EW124" i="1" s="1"/>
  <c r="W83" i="1"/>
  <c r="BU118" i="1"/>
  <c r="FC118" i="1" s="1"/>
  <c r="AC76" i="1"/>
  <c r="BW116" i="1"/>
  <c r="AE74" i="1"/>
  <c r="BS119" i="1"/>
  <c r="AA77" i="1"/>
  <c r="BO95" i="1"/>
  <c r="W53" i="1"/>
  <c r="BN126" i="1"/>
  <c r="V84" i="1"/>
  <c r="BI101" i="1"/>
  <c r="Q59" i="1"/>
  <c r="BO122" i="1"/>
  <c r="W80" i="1"/>
  <c r="BO94" i="1"/>
  <c r="W52" i="1"/>
  <c r="EW123" i="1" l="1"/>
  <c r="EW122" i="1" s="1"/>
  <c r="FA119" i="1"/>
  <c r="FE116" i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BN122" i="1"/>
  <c r="V80" i="1"/>
  <c r="BR119" i="1"/>
  <c r="Z77" i="1"/>
  <c r="BN86" i="1"/>
  <c r="V44" i="1"/>
  <c r="BM96" i="1"/>
  <c r="U54" i="1"/>
  <c r="BI100" i="1"/>
  <c r="EQ100" i="1" s="1"/>
  <c r="Q58" i="1"/>
  <c r="BR120" i="1"/>
  <c r="EZ120" i="1" s="1"/>
  <c r="EZ119" i="1" s="1"/>
  <c r="Z78" i="1"/>
  <c r="BO88" i="1"/>
  <c r="W46" i="1"/>
  <c r="ER99" i="1"/>
  <c r="BM97" i="1"/>
  <c r="U55" i="1"/>
  <c r="BM126" i="1"/>
  <c r="U84" i="1"/>
  <c r="BL126" i="1" s="1"/>
  <c r="BT118" i="1"/>
  <c r="FB118" i="1" s="1"/>
  <c r="AB76" i="1"/>
  <c r="BN91" i="1"/>
  <c r="V49" i="1"/>
  <c r="BN87" i="1"/>
  <c r="V45" i="1"/>
  <c r="BQ121" i="1"/>
  <c r="EY121" i="1" s="1"/>
  <c r="Y79" i="1"/>
  <c r="BN93" i="1"/>
  <c r="V51" i="1"/>
  <c r="BN90" i="1"/>
  <c r="V48" i="1"/>
  <c r="BN94" i="1"/>
  <c r="V52" i="1"/>
  <c r="BH101" i="1"/>
  <c r="P59" i="1"/>
  <c r="BN95" i="1"/>
  <c r="V53" i="1"/>
  <c r="BV116" i="1"/>
  <c r="AD74" i="1"/>
  <c r="BN125" i="1"/>
  <c r="EV125" i="1" s="1"/>
  <c r="EV124" i="1" s="1"/>
  <c r="V83" i="1"/>
  <c r="BM124" i="1"/>
  <c r="U82" i="1"/>
  <c r="BL124" i="1" s="1"/>
  <c r="BV117" i="1"/>
  <c r="FD117" i="1" s="1"/>
  <c r="AD75" i="1"/>
  <c r="BO92" i="1"/>
  <c r="W50" i="1"/>
  <c r="BI99" i="1"/>
  <c r="Q57" i="1"/>
  <c r="BO89" i="1"/>
  <c r="W47" i="1"/>
  <c r="BN123" i="1"/>
  <c r="V81" i="1"/>
  <c r="BL98" i="1"/>
  <c r="T56" i="1"/>
  <c r="EQ99" i="1" l="1"/>
  <c r="BG101" i="1"/>
  <c r="O59" i="1"/>
  <c r="BP121" i="1"/>
  <c r="EX121" i="1" s="1"/>
  <c r="X79" i="1"/>
  <c r="BM91" i="1"/>
  <c r="U49" i="1"/>
  <c r="BH100" i="1"/>
  <c r="EP100" i="1" s="1"/>
  <c r="P58" i="1"/>
  <c r="BM86" i="1"/>
  <c r="U44" i="1"/>
  <c r="BM123" i="1"/>
  <c r="U81" i="1"/>
  <c r="BL123" i="1" s="1"/>
  <c r="BU117" i="1"/>
  <c r="FC117" i="1" s="1"/>
  <c r="AC75" i="1"/>
  <c r="FD116" i="1"/>
  <c r="BM125" i="1"/>
  <c r="EU125" i="1" s="1"/>
  <c r="EU124" i="1" s="1"/>
  <c r="U83" i="1"/>
  <c r="BL125" i="1" s="1"/>
  <c r="ET125" i="1" s="1"/>
  <c r="ET124" i="1" s="1"/>
  <c r="BM95" i="1"/>
  <c r="U53" i="1"/>
  <c r="BM94" i="1"/>
  <c r="U52" i="1"/>
  <c r="BM93" i="1"/>
  <c r="U51" i="1"/>
  <c r="BM87" i="1"/>
  <c r="U45" i="1"/>
  <c r="BS118" i="1"/>
  <c r="FA118" i="1" s="1"/>
  <c r="AA76" i="1"/>
  <c r="BL97" i="1"/>
  <c r="T55" i="1"/>
  <c r="BQ120" i="1"/>
  <c r="Y78" i="1"/>
  <c r="BL96" i="1"/>
  <c r="T54" i="1"/>
  <c r="BQ119" i="1"/>
  <c r="Y77" i="1"/>
  <c r="BU116" i="1"/>
  <c r="AC74" i="1"/>
  <c r="BM90" i="1"/>
  <c r="U48" i="1"/>
  <c r="BN88" i="1"/>
  <c r="V46" i="1"/>
  <c r="BM122" i="1"/>
  <c r="U80" i="1"/>
  <c r="BL122" i="1" s="1"/>
  <c r="BH99" i="1"/>
  <c r="P57" i="1"/>
  <c r="EY120" i="1"/>
  <c r="BK98" i="1"/>
  <c r="ES98" i="1" s="1"/>
  <c r="S56" i="1"/>
  <c r="BN89" i="1"/>
  <c r="V47" i="1"/>
  <c r="BN92" i="1"/>
  <c r="V50" i="1"/>
  <c r="EV123" i="1"/>
  <c r="EV122" i="1" s="1"/>
  <c r="EY119" i="1" l="1"/>
  <c r="EP99" i="1"/>
  <c r="BR118" i="1"/>
  <c r="EZ118" i="1" s="1"/>
  <c r="Z76" i="1"/>
  <c r="BL93" i="1"/>
  <c r="T51" i="1"/>
  <c r="BL95" i="1"/>
  <c r="T53" i="1"/>
  <c r="FD115" i="1"/>
  <c r="FD114" i="1" s="1"/>
  <c r="FD113" i="1" s="1"/>
  <c r="FD112" i="1" s="1"/>
  <c r="FD111" i="1" s="1"/>
  <c r="FD110" i="1" s="1"/>
  <c r="FD109" i="1" s="1"/>
  <c r="FD108" i="1" s="1"/>
  <c r="FD107" i="1" s="1"/>
  <c r="FD106" i="1" s="1"/>
  <c r="FD105" i="1" s="1"/>
  <c r="FD104" i="1" s="1"/>
  <c r="FD103" i="1" s="1"/>
  <c r="FD102" i="1" s="1"/>
  <c r="FD101" i="1" s="1"/>
  <c r="FD100" i="1" s="1"/>
  <c r="FD99" i="1" s="1"/>
  <c r="FD98" i="1" s="1"/>
  <c r="FD97" i="1" s="1"/>
  <c r="FD96" i="1" s="1"/>
  <c r="FD95" i="1" s="1"/>
  <c r="FD94" i="1" s="1"/>
  <c r="FD93" i="1" s="1"/>
  <c r="FD92" i="1" s="1"/>
  <c r="FD91" i="1" s="1"/>
  <c r="FD90" i="1" s="1"/>
  <c r="FD89" i="1" s="1"/>
  <c r="FD88" i="1" s="1"/>
  <c r="FD87" i="1" s="1"/>
  <c r="FD86" i="1" s="1"/>
  <c r="AF116" i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BG100" i="1"/>
  <c r="EO100" i="1" s="1"/>
  <c r="O58" i="1"/>
  <c r="BO121" i="1"/>
  <c r="EW121" i="1" s="1"/>
  <c r="W79" i="1"/>
  <c r="BM92" i="1"/>
  <c r="U50" i="1"/>
  <c r="BJ98" i="1"/>
  <c r="ER98" i="1" s="1"/>
  <c r="R56" i="1"/>
  <c r="BG99" i="1"/>
  <c r="O57" i="1"/>
  <c r="BM88" i="1"/>
  <c r="U46" i="1"/>
  <c r="BT116" i="1"/>
  <c r="AB74" i="1"/>
  <c r="BK96" i="1"/>
  <c r="S54" i="1"/>
  <c r="BK97" i="1"/>
  <c r="ES97" i="1" s="1"/>
  <c r="S55" i="1"/>
  <c r="BL87" i="1"/>
  <c r="T45" i="1"/>
  <c r="BL94" i="1"/>
  <c r="T52" i="1"/>
  <c r="ET123" i="1"/>
  <c r="ET122" i="1" s="1"/>
  <c r="BT117" i="1"/>
  <c r="FB117" i="1" s="1"/>
  <c r="AB75" i="1"/>
  <c r="BL86" i="1"/>
  <c r="T44" i="1"/>
  <c r="BL91" i="1"/>
  <c r="T49" i="1"/>
  <c r="BF101" i="1"/>
  <c r="N59" i="1"/>
  <c r="BM89" i="1"/>
  <c r="U47" i="1"/>
  <c r="BL90" i="1"/>
  <c r="T48" i="1"/>
  <c r="BP119" i="1"/>
  <c r="X77" i="1"/>
  <c r="BP120" i="1"/>
  <c r="EX120" i="1" s="1"/>
  <c r="X78" i="1"/>
  <c r="EU123" i="1"/>
  <c r="EU122" i="1" s="1"/>
  <c r="FC116" i="1"/>
  <c r="FC115" i="1" s="1"/>
  <c r="FC114" i="1" s="1"/>
  <c r="FC113" i="1" s="1"/>
  <c r="FC112" i="1" s="1"/>
  <c r="FC111" i="1" s="1"/>
  <c r="FC110" i="1" s="1"/>
  <c r="FC109" i="1" s="1"/>
  <c r="FC108" i="1" s="1"/>
  <c r="FC107" i="1" s="1"/>
  <c r="FC106" i="1" s="1"/>
  <c r="FC105" i="1" s="1"/>
  <c r="FC104" i="1" s="1"/>
  <c r="FC103" i="1" s="1"/>
  <c r="FC102" i="1" s="1"/>
  <c r="FC101" i="1" s="1"/>
  <c r="FC100" i="1" s="1"/>
  <c r="FC99" i="1" s="1"/>
  <c r="FC98" i="1" s="1"/>
  <c r="FC97" i="1" s="1"/>
  <c r="FC96" i="1" s="1"/>
  <c r="FC95" i="1" s="1"/>
  <c r="FC94" i="1" s="1"/>
  <c r="FC93" i="1" s="1"/>
  <c r="FC92" i="1" s="1"/>
  <c r="FC91" i="1" s="1"/>
  <c r="FC90" i="1" s="1"/>
  <c r="FC89" i="1" s="1"/>
  <c r="FC88" i="1" s="1"/>
  <c r="FC87" i="1" s="1"/>
  <c r="FC86" i="1" s="1"/>
  <c r="AE86" i="1" s="1"/>
  <c r="EX119" i="1" l="1"/>
  <c r="AE87" i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ES96" i="1"/>
  <c r="BK94" i="1"/>
  <c r="S52" i="1"/>
  <c r="BJ97" i="1"/>
  <c r="ER97" i="1" s="1"/>
  <c r="R55" i="1"/>
  <c r="BJ96" i="1"/>
  <c r="R54" i="1"/>
  <c r="BL88" i="1"/>
  <c r="T46" i="1"/>
  <c r="BI98" i="1"/>
  <c r="EQ98" i="1" s="1"/>
  <c r="Q56" i="1"/>
  <c r="BN121" i="1"/>
  <c r="EV121" i="1" s="1"/>
  <c r="V79" i="1"/>
  <c r="BK93" i="1"/>
  <c r="S51" i="1"/>
  <c r="FB116" i="1"/>
  <c r="FB115" i="1" s="1"/>
  <c r="FB114" i="1" s="1"/>
  <c r="FB113" i="1" s="1"/>
  <c r="FB112" i="1" s="1"/>
  <c r="FB111" i="1" s="1"/>
  <c r="FB110" i="1" s="1"/>
  <c r="FB109" i="1" s="1"/>
  <c r="FB108" i="1" s="1"/>
  <c r="FB107" i="1" s="1"/>
  <c r="FB106" i="1" s="1"/>
  <c r="FB105" i="1" s="1"/>
  <c r="FB104" i="1" s="1"/>
  <c r="FB103" i="1" s="1"/>
  <c r="FB102" i="1" s="1"/>
  <c r="FB101" i="1" s="1"/>
  <c r="FB100" i="1" s="1"/>
  <c r="FB99" i="1" s="1"/>
  <c r="FB98" i="1" s="1"/>
  <c r="FB97" i="1" s="1"/>
  <c r="FB96" i="1" s="1"/>
  <c r="FB95" i="1" s="1"/>
  <c r="FB94" i="1" s="1"/>
  <c r="FB93" i="1" s="1"/>
  <c r="FB92" i="1" s="1"/>
  <c r="FB91" i="1" s="1"/>
  <c r="FB90" i="1" s="1"/>
  <c r="FB89" i="1" s="1"/>
  <c r="FB88" i="1" s="1"/>
  <c r="FB87" i="1" s="1"/>
  <c r="FB86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BK87" i="1"/>
  <c r="S45" i="1"/>
  <c r="BS116" i="1"/>
  <c r="AA74" i="1"/>
  <c r="BF99" i="1"/>
  <c r="N57" i="1"/>
  <c r="BL92" i="1"/>
  <c r="T50" i="1"/>
  <c r="BF100" i="1"/>
  <c r="EN100" i="1" s="1"/>
  <c r="N58" i="1"/>
  <c r="BK95" i="1"/>
  <c r="S53" i="1"/>
  <c r="BQ118" i="1"/>
  <c r="EY118" i="1" s="1"/>
  <c r="Y76" i="1"/>
  <c r="BO119" i="1"/>
  <c r="W77" i="1"/>
  <c r="BL89" i="1"/>
  <c r="T47" i="1"/>
  <c r="BK91" i="1"/>
  <c r="S49" i="1"/>
  <c r="BS117" i="1"/>
  <c r="FA117" i="1" s="1"/>
  <c r="AA75" i="1"/>
  <c r="BO120" i="1"/>
  <c r="EW120" i="1" s="1"/>
  <c r="EW119" i="1" s="1"/>
  <c r="W78" i="1"/>
  <c r="BK90" i="1"/>
  <c r="S48" i="1"/>
  <c r="BE101" i="1"/>
  <c r="M59" i="1"/>
  <c r="BK86" i="1"/>
  <c r="S44" i="1"/>
  <c r="EO99" i="1"/>
  <c r="EN99" i="1" l="1"/>
  <c r="ES95" i="1"/>
  <c r="ES94" i="1" s="1"/>
  <c r="ES93" i="1" s="1"/>
  <c r="FA116" i="1"/>
  <c r="FA115" i="1" s="1"/>
  <c r="FA114" i="1" s="1"/>
  <c r="FA113" i="1" s="1"/>
  <c r="FA112" i="1" s="1"/>
  <c r="FA111" i="1" s="1"/>
  <c r="FA110" i="1" s="1"/>
  <c r="FA109" i="1" s="1"/>
  <c r="FA108" i="1" s="1"/>
  <c r="FA107" i="1" s="1"/>
  <c r="FA106" i="1" s="1"/>
  <c r="FA105" i="1" s="1"/>
  <c r="FA104" i="1" s="1"/>
  <c r="FA103" i="1" s="1"/>
  <c r="FA102" i="1" s="1"/>
  <c r="FA101" i="1" s="1"/>
  <c r="FA100" i="1" s="1"/>
  <c r="FA99" i="1" s="1"/>
  <c r="FA98" i="1" s="1"/>
  <c r="FA97" i="1" s="1"/>
  <c r="FA96" i="1" s="1"/>
  <c r="FA95" i="1" s="1"/>
  <c r="FA94" i="1" s="1"/>
  <c r="FA93" i="1" s="1"/>
  <c r="FA92" i="1" s="1"/>
  <c r="FA91" i="1" s="1"/>
  <c r="FA90" i="1" s="1"/>
  <c r="FA89" i="1" s="1"/>
  <c r="FA88" i="1" s="1"/>
  <c r="FA87" i="1" s="1"/>
  <c r="FA86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BD101" i="1"/>
  <c r="L59" i="1"/>
  <c r="BN120" i="1"/>
  <c r="EV120" i="1" s="1"/>
  <c r="V78" i="1"/>
  <c r="BR117" i="1"/>
  <c r="EZ117" i="1" s="1"/>
  <c r="Z75" i="1"/>
  <c r="BK89" i="1"/>
  <c r="S47" i="1"/>
  <c r="BP118" i="1"/>
  <c r="EX118" i="1" s="1"/>
  <c r="X76" i="1"/>
  <c r="BE100" i="1"/>
  <c r="EM100" i="1" s="1"/>
  <c r="M58" i="1"/>
  <c r="BE99" i="1"/>
  <c r="M57" i="1"/>
  <c r="BJ87" i="1"/>
  <c r="R45" i="1"/>
  <c r="BJ93" i="1"/>
  <c r="R51" i="1"/>
  <c r="BH98" i="1"/>
  <c r="EP98" i="1" s="1"/>
  <c r="P56" i="1"/>
  <c r="BI96" i="1"/>
  <c r="Q54" i="1"/>
  <c r="BJ94" i="1"/>
  <c r="R52" i="1"/>
  <c r="BM121" i="1"/>
  <c r="EU121" i="1" s="1"/>
  <c r="U79" i="1"/>
  <c r="BL121" i="1" s="1"/>
  <c r="ET121" i="1" s="1"/>
  <c r="BK88" i="1"/>
  <c r="S46" i="1"/>
  <c r="BI97" i="1"/>
  <c r="EQ97" i="1" s="1"/>
  <c r="EQ96" i="1" s="1"/>
  <c r="Q55" i="1"/>
  <c r="BJ86" i="1"/>
  <c r="R44" i="1"/>
  <c r="BJ90" i="1"/>
  <c r="R48" i="1"/>
  <c r="BJ91" i="1"/>
  <c r="R49" i="1"/>
  <c r="BN119" i="1"/>
  <c r="V77" i="1"/>
  <c r="BJ95" i="1"/>
  <c r="R53" i="1"/>
  <c r="BK92" i="1"/>
  <c r="S50" i="1"/>
  <c r="BR116" i="1"/>
  <c r="Z74" i="1"/>
  <c r="ER96" i="1"/>
  <c r="ES92" i="1" l="1"/>
  <c r="ES91" i="1" s="1"/>
  <c r="ES90" i="1" s="1"/>
  <c r="ES89" i="1" s="1"/>
  <c r="ES88" i="1" s="1"/>
  <c r="ES87" i="1" s="1"/>
  <c r="ES86" i="1" s="1"/>
  <c r="U86" i="1" s="1"/>
  <c r="EV119" i="1"/>
  <c r="ER95" i="1"/>
  <c r="ER94" i="1" s="1"/>
  <c r="ER93" i="1" s="1"/>
  <c r="EZ116" i="1"/>
  <c r="EZ115" i="1" s="1"/>
  <c r="EZ114" i="1" s="1"/>
  <c r="EZ113" i="1" s="1"/>
  <c r="EZ112" i="1" s="1"/>
  <c r="EZ111" i="1" s="1"/>
  <c r="EZ110" i="1" s="1"/>
  <c r="EZ109" i="1" s="1"/>
  <c r="EZ108" i="1" s="1"/>
  <c r="EZ107" i="1" s="1"/>
  <c r="EZ106" i="1" s="1"/>
  <c r="EZ105" i="1" s="1"/>
  <c r="EZ104" i="1" s="1"/>
  <c r="EZ103" i="1" s="1"/>
  <c r="EZ102" i="1" s="1"/>
  <c r="EZ101" i="1" s="1"/>
  <c r="EZ100" i="1" s="1"/>
  <c r="EZ99" i="1" s="1"/>
  <c r="EZ98" i="1" s="1"/>
  <c r="EZ97" i="1" s="1"/>
  <c r="EZ96" i="1" s="1"/>
  <c r="EZ95" i="1" s="1"/>
  <c r="EZ94" i="1" s="1"/>
  <c r="EZ93" i="1" s="1"/>
  <c r="EZ92" i="1" s="1"/>
  <c r="EZ91" i="1" s="1"/>
  <c r="EZ90" i="1" s="1"/>
  <c r="EZ89" i="1" s="1"/>
  <c r="EZ88" i="1" s="1"/>
  <c r="EZ87" i="1" s="1"/>
  <c r="EZ86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BJ92" i="1"/>
  <c r="R50" i="1"/>
  <c r="BM119" i="1"/>
  <c r="U77" i="1"/>
  <c r="BL119" i="1" s="1"/>
  <c r="BI90" i="1"/>
  <c r="Q48" i="1"/>
  <c r="BJ88" i="1"/>
  <c r="R46" i="1"/>
  <c r="BI94" i="1"/>
  <c r="Q52" i="1"/>
  <c r="BG98" i="1"/>
  <c r="EO98" i="1" s="1"/>
  <c r="O56" i="1"/>
  <c r="BI87" i="1"/>
  <c r="Q45" i="1"/>
  <c r="BD100" i="1"/>
  <c r="EL100" i="1" s="1"/>
  <c r="L58" i="1"/>
  <c r="BJ89" i="1"/>
  <c r="R47" i="1"/>
  <c r="BM120" i="1"/>
  <c r="EU120" i="1" s="1"/>
  <c r="EU119" i="1" s="1"/>
  <c r="U78" i="1"/>
  <c r="BL120" i="1" s="1"/>
  <c r="ET120" i="1" s="1"/>
  <c r="BQ116" i="1"/>
  <c r="Y74" i="1"/>
  <c r="BI95" i="1"/>
  <c r="EQ95" i="1" s="1"/>
  <c r="Q53" i="1"/>
  <c r="BI91" i="1"/>
  <c r="Q49" i="1"/>
  <c r="BI86" i="1"/>
  <c r="Q44" i="1"/>
  <c r="EM99" i="1"/>
  <c r="BH97" i="1"/>
  <c r="EP97" i="1" s="1"/>
  <c r="P55" i="1"/>
  <c r="BH96" i="1"/>
  <c r="P54" i="1"/>
  <c r="BI93" i="1"/>
  <c r="Q51" i="1"/>
  <c r="BD99" i="1"/>
  <c r="L57" i="1"/>
  <c r="BO118" i="1"/>
  <c r="EW118" i="1" s="1"/>
  <c r="W76" i="1"/>
  <c r="BQ117" i="1"/>
  <c r="EY117" i="1" s="1"/>
  <c r="Y75" i="1"/>
  <c r="BC101" i="1"/>
  <c r="K59" i="1"/>
  <c r="EY116" i="1" l="1"/>
  <c r="EY115" i="1" s="1"/>
  <c r="EY114" i="1" s="1"/>
  <c r="EY113" i="1" s="1"/>
  <c r="EY112" i="1" s="1"/>
  <c r="EY111" i="1" s="1"/>
  <c r="EY110" i="1" s="1"/>
  <c r="EY109" i="1" s="1"/>
  <c r="EY108" i="1" s="1"/>
  <c r="EY107" i="1" s="1"/>
  <c r="EY106" i="1" s="1"/>
  <c r="EY105" i="1" s="1"/>
  <c r="EY104" i="1" s="1"/>
  <c r="EY103" i="1" s="1"/>
  <c r="EY102" i="1" s="1"/>
  <c r="EY101" i="1" s="1"/>
  <c r="EY100" i="1" s="1"/>
  <c r="EY99" i="1" s="1"/>
  <c r="EY98" i="1" s="1"/>
  <c r="EY97" i="1" s="1"/>
  <c r="EY96" i="1" s="1"/>
  <c r="EY95" i="1" s="1"/>
  <c r="EY94" i="1" s="1"/>
  <c r="EY93" i="1" s="1"/>
  <c r="EY92" i="1" s="1"/>
  <c r="EY91" i="1" s="1"/>
  <c r="EY90" i="1" s="1"/>
  <c r="EY89" i="1" s="1"/>
  <c r="EY88" i="1" s="1"/>
  <c r="EY87" i="1" s="1"/>
  <c r="EY86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EQ94" i="1"/>
  <c r="EQ93" i="1" s="1"/>
  <c r="ET119" i="1"/>
  <c r="ER92" i="1"/>
  <c r="ER91" i="1" s="1"/>
  <c r="ER90" i="1" s="1"/>
  <c r="ER89" i="1" s="1"/>
  <c r="ER88" i="1" s="1"/>
  <c r="ER87" i="1" s="1"/>
  <c r="ER86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BH91" i="1"/>
  <c r="P49" i="1"/>
  <c r="BP116" i="1"/>
  <c r="X74" i="1"/>
  <c r="BI89" i="1"/>
  <c r="Q47" i="1"/>
  <c r="BH87" i="1"/>
  <c r="P45" i="1"/>
  <c r="BH94" i="1"/>
  <c r="P52" i="1"/>
  <c r="BH90" i="1"/>
  <c r="P48" i="1"/>
  <c r="BB101" i="1"/>
  <c r="J59" i="1"/>
  <c r="BG97" i="1"/>
  <c r="EO97" i="1" s="1"/>
  <c r="O55" i="1"/>
  <c r="BH86" i="1"/>
  <c r="P44" i="1"/>
  <c r="BH95" i="1"/>
  <c r="P53" i="1"/>
  <c r="BC100" i="1"/>
  <c r="EK100" i="1" s="1"/>
  <c r="K58" i="1"/>
  <c r="BF98" i="1"/>
  <c r="EN98" i="1" s="1"/>
  <c r="N56" i="1"/>
  <c r="BI88" i="1"/>
  <c r="Q46" i="1"/>
  <c r="BI92" i="1"/>
  <c r="Q50" i="1"/>
  <c r="BN118" i="1"/>
  <c r="EV118" i="1" s="1"/>
  <c r="V76" i="1"/>
  <c r="BH93" i="1"/>
  <c r="P51" i="1"/>
  <c r="EP96" i="1"/>
  <c r="BP117" i="1"/>
  <c r="EX117" i="1" s="1"/>
  <c r="X75" i="1"/>
  <c r="BC99" i="1"/>
  <c r="K57" i="1"/>
  <c r="BG96" i="1"/>
  <c r="O54" i="1"/>
  <c r="EL99" i="1"/>
  <c r="EX116" i="1" l="1"/>
  <c r="EX115" i="1" s="1"/>
  <c r="EX114" i="1" s="1"/>
  <c r="EX113" i="1" s="1"/>
  <c r="EX112" i="1" s="1"/>
  <c r="EX111" i="1" s="1"/>
  <c r="EX110" i="1" s="1"/>
  <c r="EX109" i="1" s="1"/>
  <c r="EX108" i="1" s="1"/>
  <c r="EX107" i="1" s="1"/>
  <c r="EX106" i="1" s="1"/>
  <c r="EX105" i="1" s="1"/>
  <c r="EX104" i="1" s="1"/>
  <c r="EX103" i="1" s="1"/>
  <c r="EX102" i="1" s="1"/>
  <c r="EX101" i="1" s="1"/>
  <c r="EX100" i="1" s="1"/>
  <c r="EX99" i="1" s="1"/>
  <c r="EX98" i="1" s="1"/>
  <c r="EX97" i="1" s="1"/>
  <c r="EX96" i="1" s="1"/>
  <c r="EX95" i="1" s="1"/>
  <c r="EX94" i="1" s="1"/>
  <c r="EX93" i="1" s="1"/>
  <c r="EX92" i="1" s="1"/>
  <c r="EX91" i="1" s="1"/>
  <c r="EX90" i="1" s="1"/>
  <c r="EX89" i="1" s="1"/>
  <c r="EX88" i="1" s="1"/>
  <c r="EX87" i="1" s="1"/>
  <c r="EX86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EQ92" i="1"/>
  <c r="EQ91" i="1" s="1"/>
  <c r="EQ90" i="1" s="1"/>
  <c r="EQ89" i="1" s="1"/>
  <c r="EQ88" i="1" s="1"/>
  <c r="EQ87" i="1" s="1"/>
  <c r="EQ86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EO96" i="1"/>
  <c r="BM118" i="1"/>
  <c r="EU118" i="1" s="1"/>
  <c r="U76" i="1"/>
  <c r="BL118" i="1" s="1"/>
  <c r="ET118" i="1" s="1"/>
  <c r="BH88" i="1"/>
  <c r="P46" i="1"/>
  <c r="BB100" i="1"/>
  <c r="EJ100" i="1" s="1"/>
  <c r="J58" i="1"/>
  <c r="BG86" i="1"/>
  <c r="O44" i="1"/>
  <c r="BG90" i="1"/>
  <c r="O48" i="1"/>
  <c r="BG87" i="1"/>
  <c r="O45" i="1"/>
  <c r="BO116" i="1"/>
  <c r="W74" i="1"/>
  <c r="BB99" i="1"/>
  <c r="J57" i="1"/>
  <c r="EP95" i="1"/>
  <c r="EP94" i="1" s="1"/>
  <c r="EP93" i="1" s="1"/>
  <c r="EK99" i="1"/>
  <c r="BF96" i="1"/>
  <c r="N54" i="1"/>
  <c r="BO117" i="1"/>
  <c r="EW117" i="1" s="1"/>
  <c r="EW116" i="1" s="1"/>
  <c r="EW115" i="1" s="1"/>
  <c r="EW114" i="1" s="1"/>
  <c r="EW113" i="1" s="1"/>
  <c r="EW112" i="1" s="1"/>
  <c r="EW111" i="1" s="1"/>
  <c r="EW110" i="1" s="1"/>
  <c r="EW109" i="1" s="1"/>
  <c r="EW108" i="1" s="1"/>
  <c r="EW107" i="1" s="1"/>
  <c r="EW106" i="1" s="1"/>
  <c r="EW105" i="1" s="1"/>
  <c r="EW104" i="1" s="1"/>
  <c r="EW103" i="1" s="1"/>
  <c r="EW102" i="1" s="1"/>
  <c r="EW101" i="1" s="1"/>
  <c r="EW100" i="1" s="1"/>
  <c r="EW99" i="1" s="1"/>
  <c r="EW98" i="1" s="1"/>
  <c r="EW97" i="1" s="1"/>
  <c r="EW96" i="1" s="1"/>
  <c r="EW95" i="1" s="1"/>
  <c r="EW94" i="1" s="1"/>
  <c r="EW93" i="1" s="1"/>
  <c r="EW92" i="1" s="1"/>
  <c r="EW91" i="1" s="1"/>
  <c r="EW90" i="1" s="1"/>
  <c r="EW89" i="1" s="1"/>
  <c r="EW88" i="1" s="1"/>
  <c r="EW87" i="1" s="1"/>
  <c r="EW86" i="1" s="1"/>
  <c r="Y86" i="1" s="1"/>
  <c r="W75" i="1"/>
  <c r="BG93" i="1"/>
  <c r="O51" i="1"/>
  <c r="BH92" i="1"/>
  <c r="P50" i="1"/>
  <c r="BE98" i="1"/>
  <c r="EM98" i="1" s="1"/>
  <c r="M56" i="1"/>
  <c r="BG95" i="1"/>
  <c r="O53" i="1"/>
  <c r="BF97" i="1"/>
  <c r="EN97" i="1" s="1"/>
  <c r="EN96" i="1" s="1"/>
  <c r="N55" i="1"/>
  <c r="BA101" i="1"/>
  <c r="I59" i="1"/>
  <c r="BG94" i="1"/>
  <c r="O52" i="1"/>
  <c r="BH89" i="1"/>
  <c r="P47" i="1"/>
  <c r="BG91" i="1"/>
  <c r="O49" i="1"/>
  <c r="EO95" i="1" l="1"/>
  <c r="EO94" i="1" s="1"/>
  <c r="EO93" i="1" s="1"/>
  <c r="Y87" i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BF91" i="1"/>
  <c r="N49" i="1"/>
  <c r="BF94" i="1"/>
  <c r="N52" i="1"/>
  <c r="BE97" i="1"/>
  <c r="EM97" i="1" s="1"/>
  <c r="M55" i="1"/>
  <c r="BD98" i="1"/>
  <c r="EL98" i="1" s="1"/>
  <c r="L56" i="1"/>
  <c r="BF93" i="1"/>
  <c r="N51" i="1"/>
  <c r="BN117" i="1"/>
  <c r="EV117" i="1" s="1"/>
  <c r="V75" i="1"/>
  <c r="BN116" i="1"/>
  <c r="V74" i="1"/>
  <c r="BF90" i="1"/>
  <c r="N48" i="1"/>
  <c r="BA100" i="1"/>
  <c r="EI100" i="1" s="1"/>
  <c r="I58" i="1"/>
  <c r="BG89" i="1"/>
  <c r="O47" i="1"/>
  <c r="AZ101" i="1"/>
  <c r="H59" i="1"/>
  <c r="BF95" i="1"/>
  <c r="EN95" i="1" s="1"/>
  <c r="N53" i="1"/>
  <c r="BG92" i="1"/>
  <c r="O50" i="1"/>
  <c r="BE96" i="1"/>
  <c r="M54" i="1"/>
  <c r="EP92" i="1"/>
  <c r="EP91" i="1" s="1"/>
  <c r="EP90" i="1" s="1"/>
  <c r="EP89" i="1" s="1"/>
  <c r="EP88" i="1" s="1"/>
  <c r="EP87" i="1" s="1"/>
  <c r="EP86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EJ99" i="1"/>
  <c r="BA99" i="1"/>
  <c r="I57" i="1"/>
  <c r="BF87" i="1"/>
  <c r="N45" i="1"/>
  <c r="BF86" i="1"/>
  <c r="N44" i="1"/>
  <c r="BG88" i="1"/>
  <c r="O46" i="1"/>
  <c r="EO92" i="1" l="1"/>
  <c r="EO91" i="1" s="1"/>
  <c r="EO90" i="1" s="1"/>
  <c r="EO89" i="1" s="1"/>
  <c r="EO88" i="1" s="1"/>
  <c r="EO87" i="1" s="1"/>
  <c r="EO86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EN94" i="1"/>
  <c r="EN93" i="1" s="1"/>
  <c r="AZ100" i="1"/>
  <c r="EH100" i="1" s="1"/>
  <c r="H58" i="1"/>
  <c r="BM116" i="1"/>
  <c r="U74" i="1"/>
  <c r="BL116" i="1" s="1"/>
  <c r="BM117" i="1"/>
  <c r="EU117" i="1" s="1"/>
  <c r="U75" i="1"/>
  <c r="BL117" i="1" s="1"/>
  <c r="ET117" i="1" s="1"/>
  <c r="BC98" i="1"/>
  <c r="EK98" i="1" s="1"/>
  <c r="K56" i="1"/>
  <c r="BE94" i="1"/>
  <c r="M52" i="1"/>
  <c r="BF88" i="1"/>
  <c r="N46" i="1"/>
  <c r="BE87" i="1"/>
  <c r="M45" i="1"/>
  <c r="BD96" i="1"/>
  <c r="L54" i="1"/>
  <c r="BE95" i="1"/>
  <c r="M53" i="1"/>
  <c r="BF89" i="1"/>
  <c r="N47" i="1"/>
  <c r="EI99" i="1"/>
  <c r="EV116" i="1"/>
  <c r="EV115" i="1" s="1"/>
  <c r="EV114" i="1" s="1"/>
  <c r="EV113" i="1" s="1"/>
  <c r="EV112" i="1" s="1"/>
  <c r="EV111" i="1" s="1"/>
  <c r="EV110" i="1" s="1"/>
  <c r="EV109" i="1" s="1"/>
  <c r="EV108" i="1" s="1"/>
  <c r="EV107" i="1" s="1"/>
  <c r="EV106" i="1" s="1"/>
  <c r="EV105" i="1" s="1"/>
  <c r="EV104" i="1" s="1"/>
  <c r="EV103" i="1" s="1"/>
  <c r="EV102" i="1" s="1"/>
  <c r="EV101" i="1" s="1"/>
  <c r="EV100" i="1" s="1"/>
  <c r="EV99" i="1" s="1"/>
  <c r="EV98" i="1" s="1"/>
  <c r="EV97" i="1" s="1"/>
  <c r="EV96" i="1" s="1"/>
  <c r="EV95" i="1" s="1"/>
  <c r="EV94" i="1" s="1"/>
  <c r="EV93" i="1" s="1"/>
  <c r="EV92" i="1" s="1"/>
  <c r="EV91" i="1" s="1"/>
  <c r="EV90" i="1" s="1"/>
  <c r="EV89" i="1" s="1"/>
  <c r="EV88" i="1" s="1"/>
  <c r="EV87" i="1" s="1"/>
  <c r="EV86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BE90" i="1"/>
  <c r="M48" i="1"/>
  <c r="EM96" i="1"/>
  <c r="EM95" i="1" s="1"/>
  <c r="BE93" i="1"/>
  <c r="M51" i="1"/>
  <c r="BD97" i="1"/>
  <c r="EL97" i="1" s="1"/>
  <c r="L55" i="1"/>
  <c r="BE91" i="1"/>
  <c r="M49" i="1"/>
  <c r="BE86" i="1"/>
  <c r="M44" i="1"/>
  <c r="AZ99" i="1"/>
  <c r="H57" i="1"/>
  <c r="BF92" i="1"/>
  <c r="N50" i="1"/>
  <c r="AY101" i="1"/>
  <c r="G59" i="1"/>
  <c r="AX101" i="1" s="1"/>
  <c r="EM94" i="1" l="1"/>
  <c r="EN92" i="1"/>
  <c r="EN91" i="1" s="1"/>
  <c r="EN90" i="1" s="1"/>
  <c r="EN89" i="1" s="1"/>
  <c r="EN88" i="1" s="1"/>
  <c r="EN87" i="1" s="1"/>
  <c r="EN86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EL96" i="1"/>
  <c r="BD95" i="1"/>
  <c r="L53" i="1"/>
  <c r="BD90" i="1"/>
  <c r="L48" i="1"/>
  <c r="BD87" i="1"/>
  <c r="L45" i="1"/>
  <c r="BD94" i="1"/>
  <c r="L52" i="1"/>
  <c r="ET116" i="1"/>
  <c r="ET115" i="1" s="1"/>
  <c r="ET114" i="1" s="1"/>
  <c r="ET113" i="1" s="1"/>
  <c r="ET112" i="1" s="1"/>
  <c r="ET111" i="1" s="1"/>
  <c r="ET110" i="1" s="1"/>
  <c r="ET109" i="1" s="1"/>
  <c r="ET108" i="1" s="1"/>
  <c r="ET107" i="1" s="1"/>
  <c r="ET106" i="1" s="1"/>
  <c r="ET105" i="1" s="1"/>
  <c r="ET104" i="1" s="1"/>
  <c r="ET103" i="1" s="1"/>
  <c r="ET102" i="1" s="1"/>
  <c r="ET101" i="1" s="1"/>
  <c r="ET100" i="1" s="1"/>
  <c r="ET99" i="1" s="1"/>
  <c r="ET98" i="1" s="1"/>
  <c r="ET97" i="1" s="1"/>
  <c r="ET96" i="1" s="1"/>
  <c r="ET95" i="1" s="1"/>
  <c r="ET94" i="1" s="1"/>
  <c r="ET93" i="1" s="1"/>
  <c r="ET92" i="1" s="1"/>
  <c r="ET91" i="1" s="1"/>
  <c r="ET90" i="1" s="1"/>
  <c r="ET89" i="1" s="1"/>
  <c r="ET88" i="1" s="1"/>
  <c r="ET87" i="1" s="1"/>
  <c r="AY100" i="1"/>
  <c r="EG100" i="1" s="1"/>
  <c r="G58" i="1"/>
  <c r="AX100" i="1" s="1"/>
  <c r="EF100" i="1" s="1"/>
  <c r="BE92" i="1"/>
  <c r="M50" i="1"/>
  <c r="BE88" i="1"/>
  <c r="M46" i="1"/>
  <c r="BB98" i="1"/>
  <c r="EJ98" i="1" s="1"/>
  <c r="J56" i="1"/>
  <c r="BD86" i="1"/>
  <c r="L44" i="1"/>
  <c r="BC97" i="1"/>
  <c r="EK97" i="1" s="1"/>
  <c r="K55" i="1"/>
  <c r="EM93" i="1"/>
  <c r="AY99" i="1"/>
  <c r="G57" i="1"/>
  <c r="AX99" i="1" s="1"/>
  <c r="BD91" i="1"/>
  <c r="L49" i="1"/>
  <c r="BD93" i="1"/>
  <c r="L51" i="1"/>
  <c r="BE89" i="1"/>
  <c r="M47" i="1"/>
  <c r="BC96" i="1"/>
  <c r="K54" i="1"/>
  <c r="EU116" i="1"/>
  <c r="EU115" i="1" s="1"/>
  <c r="EU114" i="1" s="1"/>
  <c r="EU113" i="1" s="1"/>
  <c r="EU112" i="1" s="1"/>
  <c r="EU111" i="1" s="1"/>
  <c r="EU110" i="1" s="1"/>
  <c r="EU109" i="1" s="1"/>
  <c r="EU108" i="1" s="1"/>
  <c r="EU107" i="1" s="1"/>
  <c r="EU106" i="1" s="1"/>
  <c r="EU105" i="1" s="1"/>
  <c r="EU104" i="1" s="1"/>
  <c r="EU103" i="1" s="1"/>
  <c r="EU102" i="1" s="1"/>
  <c r="EU101" i="1" s="1"/>
  <c r="EU100" i="1" s="1"/>
  <c r="EU99" i="1" s="1"/>
  <c r="EU98" i="1" s="1"/>
  <c r="EU97" i="1" s="1"/>
  <c r="EU96" i="1" s="1"/>
  <c r="EU95" i="1" s="1"/>
  <c r="EU94" i="1" s="1"/>
  <c r="EU93" i="1" s="1"/>
  <c r="EU92" i="1" s="1"/>
  <c r="EU91" i="1" s="1"/>
  <c r="EU90" i="1" s="1"/>
  <c r="EU89" i="1" s="1"/>
  <c r="EU88" i="1" s="1"/>
  <c r="EU87" i="1" s="1"/>
  <c r="EU86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EH99" i="1"/>
  <c r="EL95" i="1" l="1"/>
  <c r="EL94" i="1" s="1"/>
  <c r="EL93" i="1" s="1"/>
  <c r="EK96" i="1"/>
  <c r="EM92" i="1"/>
  <c r="EM91" i="1" s="1"/>
  <c r="EM90" i="1" s="1"/>
  <c r="EM89" i="1" s="1"/>
  <c r="EM88" i="1" s="1"/>
  <c r="EM87" i="1" s="1"/>
  <c r="EM86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EG99" i="1"/>
  <c r="ET86" i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U87" i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U109" i="1" s="1"/>
  <c r="U110" i="1" s="1"/>
  <c r="U111" i="1" s="1"/>
  <c r="U112" i="1" s="1"/>
  <c r="U113" i="1" s="1"/>
  <c r="U114" i="1" s="1"/>
  <c r="U115" i="1" s="1"/>
  <c r="U116" i="1" s="1"/>
  <c r="U117" i="1" s="1"/>
  <c r="U118" i="1" s="1"/>
  <c r="U119" i="1" s="1"/>
  <c r="U120" i="1" s="1"/>
  <c r="U121" i="1" s="1"/>
  <c r="U122" i="1" s="1"/>
  <c r="U123" i="1" s="1"/>
  <c r="U124" i="1" s="1"/>
  <c r="U125" i="1" s="1"/>
  <c r="U126" i="1" s="1"/>
  <c r="BC86" i="1"/>
  <c r="K44" i="1"/>
  <c r="BD88" i="1"/>
  <c r="L46" i="1"/>
  <c r="BC94" i="1"/>
  <c r="K52" i="1"/>
  <c r="BC95" i="1"/>
  <c r="K53" i="1"/>
  <c r="BB97" i="1"/>
  <c r="EJ97" i="1" s="1"/>
  <c r="J55" i="1"/>
  <c r="BA98" i="1"/>
  <c r="EI98" i="1" s="1"/>
  <c r="I56" i="1"/>
  <c r="BC87" i="1"/>
  <c r="K45" i="1"/>
  <c r="BB96" i="1"/>
  <c r="J54" i="1"/>
  <c r="BC93" i="1"/>
  <c r="K51" i="1"/>
  <c r="BD92" i="1"/>
  <c r="L50" i="1"/>
  <c r="BD89" i="1"/>
  <c r="L47" i="1"/>
  <c r="BC91" i="1"/>
  <c r="K49" i="1"/>
  <c r="EF99" i="1"/>
  <c r="BC90" i="1"/>
  <c r="K48" i="1"/>
  <c r="EK95" i="1" l="1"/>
  <c r="EK94" i="1" s="1"/>
  <c r="EK93" i="1" s="1"/>
  <c r="EJ96" i="1"/>
  <c r="EL92" i="1"/>
  <c r="EL91" i="1" s="1"/>
  <c r="EL90" i="1" s="1"/>
  <c r="EL89" i="1" s="1"/>
  <c r="EL88" i="1" s="1"/>
  <c r="EL87" i="1" s="1"/>
  <c r="EL86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BC89" i="1"/>
  <c r="K47" i="1"/>
  <c r="BA96" i="1"/>
  <c r="I54" i="1"/>
  <c r="BB90" i="1"/>
  <c r="J48" i="1"/>
  <c r="BB91" i="1"/>
  <c r="J49" i="1"/>
  <c r="BB93" i="1"/>
  <c r="J51" i="1"/>
  <c r="BB87" i="1"/>
  <c r="J45" i="1"/>
  <c r="AZ98" i="1"/>
  <c r="EH98" i="1" s="1"/>
  <c r="H56" i="1"/>
  <c r="BB95" i="1"/>
  <c r="J53" i="1"/>
  <c r="BC88" i="1"/>
  <c r="K46" i="1"/>
  <c r="BC92" i="1"/>
  <c r="K50" i="1"/>
  <c r="BA97" i="1"/>
  <c r="EI97" i="1" s="1"/>
  <c r="I55" i="1"/>
  <c r="BB94" i="1"/>
  <c r="J52" i="1"/>
  <c r="BB86" i="1"/>
  <c r="J44" i="1"/>
  <c r="EJ95" i="1" l="1"/>
  <c r="EJ94" i="1" s="1"/>
  <c r="EJ93" i="1" s="1"/>
  <c r="EK92" i="1"/>
  <c r="EK91" i="1" s="1"/>
  <c r="EK90" i="1" s="1"/>
  <c r="EK89" i="1" s="1"/>
  <c r="EK88" i="1" s="1"/>
  <c r="EK87" i="1" s="1"/>
  <c r="EK86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EI96" i="1"/>
  <c r="BA86" i="1"/>
  <c r="I44" i="1"/>
  <c r="AZ97" i="1"/>
  <c r="EH97" i="1" s="1"/>
  <c r="H55" i="1"/>
  <c r="AZ96" i="1"/>
  <c r="H54" i="1"/>
  <c r="BB88" i="1"/>
  <c r="J46" i="1"/>
  <c r="AY98" i="1"/>
  <c r="EG98" i="1" s="1"/>
  <c r="G56" i="1"/>
  <c r="AX98" i="1" s="1"/>
  <c r="EF98" i="1" s="1"/>
  <c r="BA93" i="1"/>
  <c r="I51" i="1"/>
  <c r="BA90" i="1"/>
  <c r="I48" i="1"/>
  <c r="BA94" i="1"/>
  <c r="I52" i="1"/>
  <c r="BB89" i="1"/>
  <c r="J47" i="1"/>
  <c r="BB92" i="1"/>
  <c r="J50" i="1"/>
  <c r="BA95" i="1"/>
  <c r="I53" i="1"/>
  <c r="BA87" i="1"/>
  <c r="I45" i="1"/>
  <c r="BA91" i="1"/>
  <c r="I49" i="1"/>
  <c r="EJ92" i="1" l="1"/>
  <c r="EJ91" i="1" s="1"/>
  <c r="EJ90" i="1" s="1"/>
  <c r="EJ89" i="1" s="1"/>
  <c r="EJ88" i="1" s="1"/>
  <c r="EJ87" i="1" s="1"/>
  <c r="EJ86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EI95" i="1"/>
  <c r="EI94" i="1" s="1"/>
  <c r="EI93" i="1" s="1"/>
  <c r="EH96" i="1"/>
  <c r="AZ90" i="1"/>
  <c r="H48" i="1"/>
  <c r="AY96" i="1"/>
  <c r="G54" i="1"/>
  <c r="AX96" i="1" s="1"/>
  <c r="AZ86" i="1"/>
  <c r="H44" i="1"/>
  <c r="AZ87" i="1"/>
  <c r="H45" i="1"/>
  <c r="BA92" i="1"/>
  <c r="I50" i="1"/>
  <c r="AZ94" i="1"/>
  <c r="H52" i="1"/>
  <c r="AZ93" i="1"/>
  <c r="H51" i="1"/>
  <c r="BA88" i="1"/>
  <c r="I46" i="1"/>
  <c r="AY97" i="1"/>
  <c r="EG97" i="1" s="1"/>
  <c r="G55" i="1"/>
  <c r="AX97" i="1" s="1"/>
  <c r="EF97" i="1" s="1"/>
  <c r="AZ91" i="1"/>
  <c r="H49" i="1"/>
  <c r="AZ95" i="1"/>
  <c r="H53" i="1"/>
  <c r="BA89" i="1"/>
  <c r="I47" i="1"/>
  <c r="EF96" i="1" l="1"/>
  <c r="EH95" i="1"/>
  <c r="EH94" i="1" s="1"/>
  <c r="EH93" i="1" s="1"/>
  <c r="EI92" i="1"/>
  <c r="EI91" i="1" s="1"/>
  <c r="EI90" i="1" s="1"/>
  <c r="EI89" i="1" s="1"/>
  <c r="EI88" i="1" s="1"/>
  <c r="EI87" i="1" s="1"/>
  <c r="EI86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EG96" i="1"/>
  <c r="AY91" i="1"/>
  <c r="G49" i="1"/>
  <c r="AX91" i="1" s="1"/>
  <c r="AY94" i="1"/>
  <c r="G52" i="1"/>
  <c r="AX94" i="1" s="1"/>
  <c r="AY86" i="1"/>
  <c r="G44" i="1"/>
  <c r="AX86" i="1" s="1"/>
  <c r="AZ89" i="1"/>
  <c r="H47" i="1"/>
  <c r="AZ88" i="1"/>
  <c r="H46" i="1"/>
  <c r="AZ92" i="1"/>
  <c r="H50" i="1"/>
  <c r="AY90" i="1"/>
  <c r="G48" i="1"/>
  <c r="AX90" i="1" s="1"/>
  <c r="AY95" i="1"/>
  <c r="G53" i="1"/>
  <c r="AX95" i="1" s="1"/>
  <c r="AY93" i="1"/>
  <c r="G51" i="1"/>
  <c r="AX93" i="1" s="1"/>
  <c r="AY87" i="1"/>
  <c r="G45" i="1"/>
  <c r="AX87" i="1" s="1"/>
  <c r="EF95" i="1" l="1"/>
  <c r="EF94" i="1" s="1"/>
  <c r="EF93" i="1" s="1"/>
  <c r="EG95" i="1"/>
  <c r="EG94" i="1" s="1"/>
  <c r="EG93" i="1" s="1"/>
  <c r="EH92" i="1"/>
  <c r="EH91" i="1" s="1"/>
  <c r="EH90" i="1" s="1"/>
  <c r="EH89" i="1" s="1"/>
  <c r="EH88" i="1" s="1"/>
  <c r="EH87" i="1" s="1"/>
  <c r="EH86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AY88" i="1"/>
  <c r="G46" i="1"/>
  <c r="AX88" i="1" s="1"/>
  <c r="AY92" i="1"/>
  <c r="G50" i="1"/>
  <c r="AX92" i="1" s="1"/>
  <c r="AY89" i="1"/>
  <c r="G47" i="1"/>
  <c r="AX89" i="1" s="1"/>
  <c r="EG92" i="1" l="1"/>
  <c r="EG91" i="1" s="1"/>
  <c r="EG90" i="1" s="1"/>
  <c r="EG89" i="1" s="1"/>
  <c r="EG88" i="1" s="1"/>
  <c r="EG87" i="1" s="1"/>
  <c r="EG86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EF92" i="1"/>
  <c r="EF91" i="1" s="1"/>
  <c r="EF90" i="1" s="1"/>
  <c r="EF89" i="1" s="1"/>
  <c r="EF88" i="1" s="1"/>
  <c r="EF87" i="1" s="1"/>
  <c r="EF86" i="1" l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G87" i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</calcChain>
</file>

<file path=xl/comments1.xml><?xml version="1.0" encoding="utf-8"?>
<comments xmlns="http://schemas.openxmlformats.org/spreadsheetml/2006/main">
  <authors>
    <author>Алексей</author>
  </authors>
  <commentList>
    <comment ref="B34" authorId="0" shapeId="0">
      <text>
        <r>
          <rPr>
            <b/>
            <i/>
            <sz val="36"/>
            <color indexed="15"/>
            <rFont val="Tahoma"/>
            <family val="2"/>
            <charset val="204"/>
          </rPr>
          <t>Сделано Быковым Леонидом</t>
        </r>
      </text>
    </comment>
  </commentList>
</comments>
</file>

<file path=xl/sharedStrings.xml><?xml version="1.0" encoding="utf-8"?>
<sst xmlns="http://schemas.openxmlformats.org/spreadsheetml/2006/main" count="54" uniqueCount="36">
  <si>
    <t>AD</t>
  </si>
  <si>
    <t>AB</t>
  </si>
  <si>
    <t>FE</t>
  </si>
  <si>
    <t>BC</t>
  </si>
  <si>
    <t>AH</t>
  </si>
  <si>
    <t>DE</t>
  </si>
  <si>
    <t>L</t>
  </si>
  <si>
    <t>H</t>
  </si>
  <si>
    <t>Конструктивные размеры фигуры</t>
  </si>
  <si>
    <t>dx</t>
  </si>
  <si>
    <t>dy</t>
  </si>
  <si>
    <t>t</t>
  </si>
  <si>
    <t>dt</t>
  </si>
  <si>
    <t>Cp</t>
  </si>
  <si>
    <t>ρ</t>
  </si>
  <si>
    <t>λ</t>
  </si>
  <si>
    <t>Физические параметры</t>
  </si>
  <si>
    <t>Параметры расчетной области и решателя</t>
  </si>
  <si>
    <t>α</t>
  </si>
  <si>
    <t>A</t>
  </si>
  <si>
    <t>B</t>
  </si>
  <si>
    <t>C</t>
  </si>
  <si>
    <t>X</t>
  </si>
  <si>
    <t>Y</t>
  </si>
  <si>
    <t>Г.У.</t>
  </si>
  <si>
    <t>T_left</t>
  </si>
  <si>
    <t>T_right</t>
  </si>
  <si>
    <t>n+0,5</t>
  </si>
  <si>
    <t>Fi</t>
  </si>
  <si>
    <t>αi</t>
  </si>
  <si>
    <t>n+1</t>
  </si>
  <si>
    <t>Fj</t>
  </si>
  <si>
    <t>αj</t>
  </si>
  <si>
    <t>βi</t>
  </si>
  <si>
    <t>βj</t>
  </si>
  <si>
    <t>Материал - медь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</si>
</sst>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26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</font>
    <font>
      <sz val="48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b/>
      <i/>
      <sz val="36"/>
      <color indexed="15"/>
      <name val="Tahoma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CFD8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/>
    <xf numFmtId="0" fontId="0" fillId="2" borderId="3" xfId="0" applyFill="1" applyBorder="1" applyAlignment="1">
      <alignment horizontal="center" vertical="center"/>
    </xf>
    <xf numFmtId="0" fontId="0" fillId="3" borderId="1" xfId="0" applyFill="1" applyBorder="1"/>
    <xf numFmtId="2" fontId="0" fillId="2" borderId="2" xfId="0" applyNumberFormat="1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6" xfId="0" applyFill="1" applyBorder="1"/>
    <xf numFmtId="2" fontId="0" fillId="2" borderId="8" xfId="0" applyNumberFormat="1" applyFill="1" applyBorder="1"/>
    <xf numFmtId="0" fontId="0" fillId="2" borderId="7" xfId="0" applyFill="1" applyBorder="1"/>
    <xf numFmtId="0" fontId="0" fillId="0" borderId="0" xfId="0" applyFill="1" applyBorder="1" applyAlignment="1">
      <alignment horizontal="center" vertical="center"/>
    </xf>
    <xf numFmtId="0" fontId="0" fillId="0" borderId="7" xfId="0" applyFill="1" applyBorder="1"/>
    <xf numFmtId="0" fontId="0" fillId="0" borderId="1" xfId="0" applyFill="1" applyBorder="1" applyAlignment="1">
      <alignment horizontal="center" vertical="center"/>
    </xf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0" fillId="6" borderId="1" xfId="0" applyFill="1" applyBorder="1"/>
    <xf numFmtId="0" fontId="1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0" fillId="0" borderId="0" xfId="0" applyFill="1" applyBorder="1"/>
    <xf numFmtId="2" fontId="0" fillId="2" borderId="3" xfId="0" applyNumberFormat="1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8" xfId="0" applyFill="1" applyBorder="1"/>
    <xf numFmtId="0" fontId="0" fillId="0" borderId="9" xfId="0" applyFill="1" applyBorder="1" applyAlignment="1">
      <alignment horizontal="center" vertical="center"/>
    </xf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0" fillId="8" borderId="1" xfId="0" applyFill="1" applyBorder="1"/>
    <xf numFmtId="0" fontId="2" fillId="0" borderId="1" xfId="0" applyFont="1" applyFill="1" applyBorder="1" applyAlignment="1">
      <alignment horizontal="center" vertical="center" textRotation="90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4" borderId="6" xfId="0" applyFill="1" applyBorder="1"/>
    <xf numFmtId="0" fontId="0" fillId="4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5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FD83"/>
      <color rgb="FF009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138111</xdr:colOff>
          <xdr:row>19</xdr:row>
          <xdr:rowOff>160336</xdr:rowOff>
        </xdr:from>
        <xdr:to>
          <xdr:col>58</xdr:col>
          <xdr:colOff>23811</xdr:colOff>
          <xdr:row>39</xdr:row>
          <xdr:rowOff>166687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НАЖМИ НА КНОПКУ</a:t>
              </a:r>
            </a:p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ПОЛУЧИШЬ РЕЗУЛЬТАТ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119061</xdr:colOff>
          <xdr:row>1</xdr:row>
          <xdr:rowOff>171448</xdr:rowOff>
        </xdr:from>
        <xdr:to>
          <xdr:col>56</xdr:col>
          <xdr:colOff>238125</xdr:colOff>
          <xdr:row>18</xdr:row>
          <xdr:rowOff>126999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РАСЧЕТНОЙ</a:t>
              </a:r>
            </a:p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ОБЛАСТИ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285749</xdr:colOff>
          <xdr:row>1</xdr:row>
          <xdr:rowOff>95250</xdr:rowOff>
        </xdr:from>
        <xdr:to>
          <xdr:col>66</xdr:col>
          <xdr:colOff>428624</xdr:colOff>
          <xdr:row>22</xdr:row>
          <xdr:rowOff>47624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Посмотреть исходные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11282</xdr:rowOff>
    </xdr:from>
    <xdr:to>
      <xdr:col>10</xdr:col>
      <xdr:colOff>95250</xdr:colOff>
      <xdr:row>32</xdr:row>
      <xdr:rowOff>150642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9" y="392282"/>
          <a:ext cx="5560219" cy="58543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502444</xdr:colOff>
          <xdr:row>25</xdr:row>
          <xdr:rowOff>107155</xdr:rowOff>
        </xdr:from>
        <xdr:to>
          <xdr:col>16</xdr:col>
          <xdr:colOff>345281</xdr:colOff>
          <xdr:row>34</xdr:row>
          <xdr:rowOff>166686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расчетам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S126"/>
  <sheetViews>
    <sheetView tabSelected="1" zoomScale="40" zoomScaleNormal="40" workbookViewId="0">
      <selection activeCell="B34" sqref="B34"/>
    </sheetView>
  </sheetViews>
  <sheetFormatPr defaultRowHeight="15" x14ac:dyDescent="0.25"/>
  <cols>
    <col min="1" max="1" width="15.7109375" customWidth="1"/>
    <col min="4" max="4" width="9.140625" customWidth="1"/>
    <col min="5" max="5" width="5.7109375" customWidth="1"/>
    <col min="6" max="6" width="7.42578125" customWidth="1"/>
    <col min="7" max="47" width="5.7109375" customWidth="1"/>
    <col min="48" max="48" width="5.5703125" customWidth="1"/>
    <col min="49" max="132" width="7.7109375" customWidth="1"/>
  </cols>
  <sheetData>
    <row r="1" spans="1:47" x14ac:dyDescent="0.25">
      <c r="E1" s="4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  <c r="U1" s="4">
        <v>16</v>
      </c>
      <c r="V1" s="4">
        <v>17</v>
      </c>
      <c r="W1" s="4">
        <v>18</v>
      </c>
      <c r="X1" s="4">
        <v>19</v>
      </c>
      <c r="Y1" s="4">
        <v>20</v>
      </c>
      <c r="Z1" s="4">
        <v>21</v>
      </c>
      <c r="AA1" s="4">
        <v>22</v>
      </c>
      <c r="AB1" s="4">
        <v>23</v>
      </c>
      <c r="AC1" s="4">
        <v>24</v>
      </c>
      <c r="AD1" s="4">
        <v>25</v>
      </c>
      <c r="AE1" s="4">
        <v>26</v>
      </c>
      <c r="AF1" s="2">
        <v>27</v>
      </c>
      <c r="AG1" s="2">
        <v>28</v>
      </c>
      <c r="AH1" s="2">
        <v>29</v>
      </c>
      <c r="AI1" s="2">
        <v>30</v>
      </c>
      <c r="AJ1" s="2">
        <v>31</v>
      </c>
      <c r="AK1" s="2">
        <v>32</v>
      </c>
      <c r="AL1" s="2">
        <v>33</v>
      </c>
      <c r="AM1" s="2">
        <v>34</v>
      </c>
      <c r="AN1" s="2">
        <v>35</v>
      </c>
      <c r="AO1" s="2">
        <v>36</v>
      </c>
      <c r="AP1" s="2">
        <v>37</v>
      </c>
      <c r="AQ1" s="2">
        <v>38</v>
      </c>
      <c r="AR1" s="2">
        <v>39</v>
      </c>
      <c r="AS1" s="2">
        <v>40</v>
      </c>
      <c r="AT1" s="2">
        <v>41</v>
      </c>
    </row>
    <row r="2" spans="1:47" ht="15" customHeight="1" x14ac:dyDescent="0.25">
      <c r="A2" s="52"/>
      <c r="B2" s="53"/>
      <c r="C2" s="53"/>
      <c r="E2" s="3">
        <f t="shared" ref="E2:E40" si="0">$C$11*AU3</f>
        <v>0.4</v>
      </c>
      <c r="F2" s="5">
        <f>$C$28</f>
        <v>350</v>
      </c>
      <c r="G2" s="2">
        <v>350.00000000000023</v>
      </c>
      <c r="H2" s="2">
        <v>340.12853274242599</v>
      </c>
      <c r="I2" s="2">
        <v>329.82974949428888</v>
      </c>
      <c r="J2" s="2">
        <v>319.13167843471166</v>
      </c>
      <c r="K2" s="2">
        <v>308.05748105501601</v>
      </c>
      <c r="L2" s="2">
        <v>296.62640449878035</v>
      </c>
      <c r="M2" s="2">
        <v>284.85458552768387</v>
      </c>
      <c r="N2" s="2">
        <v>272.75573650412156</v>
      </c>
      <c r="O2" s="2">
        <v>260.34173803218079</v>
      </c>
      <c r="P2" s="2">
        <v>247.62315821118159</v>
      </c>
      <c r="Q2" s="2">
        <v>234.60971456115647</v>
      </c>
      <c r="R2" s="2">
        <v>221.31069134689869</v>
      </c>
      <c r="S2" s="2">
        <v>207.73532205068992</v>
      </c>
      <c r="T2" s="2">
        <v>193.8931439294926</v>
      </c>
      <c r="U2" s="2">
        <v>179.79432874566515</v>
      </c>
      <c r="V2" s="2">
        <v>164.13589249801484</v>
      </c>
      <c r="W2" s="2">
        <v>149.99082350980012</v>
      </c>
      <c r="X2" s="2">
        <v>135.85740546537244</v>
      </c>
      <c r="Y2" s="2">
        <v>121.69816623137142</v>
      </c>
      <c r="Z2" s="2">
        <v>107.46695938155193</v>
      </c>
      <c r="AA2" s="2">
        <v>93.109056981653197</v>
      </c>
      <c r="AB2" s="2">
        <v>78.560880936909228</v>
      </c>
      <c r="AC2" s="2">
        <v>63.749360963823648</v>
      </c>
      <c r="AD2" s="2">
        <v>48.590891968234175</v>
      </c>
      <c r="AE2" s="2">
        <v>32.989846114985049</v>
      </c>
      <c r="AF2" s="7"/>
      <c r="AG2" s="7"/>
      <c r="AH2" s="7"/>
      <c r="AI2" s="7"/>
      <c r="AJ2" s="7"/>
      <c r="AK2" s="7"/>
      <c r="AL2" s="8"/>
      <c r="AM2" s="8"/>
      <c r="AN2" s="8"/>
      <c r="AO2" s="8"/>
      <c r="AP2" s="8"/>
      <c r="AQ2" s="8"/>
      <c r="AR2" s="8"/>
      <c r="AS2" s="8"/>
      <c r="AT2" s="8"/>
      <c r="AU2" s="1">
        <v>41</v>
      </c>
    </row>
    <row r="3" spans="1:47" x14ac:dyDescent="0.25">
      <c r="A3" s="52"/>
      <c r="B3" s="53"/>
      <c r="C3" s="53"/>
      <c r="E3" s="3">
        <f t="shared" si="0"/>
        <v>0.39</v>
      </c>
      <c r="F3" s="5">
        <f t="shared" ref="F3:F17" si="1">$C$28</f>
        <v>350</v>
      </c>
      <c r="G3" s="2">
        <v>347.36397391051509</v>
      </c>
      <c r="H3" s="2">
        <v>337.26486401624959</v>
      </c>
      <c r="I3" s="2">
        <v>326.76411804467273</v>
      </c>
      <c r="J3" s="2">
        <v>315.88478884768773</v>
      </c>
      <c r="K3" s="2">
        <v>304.64606872745378</v>
      </c>
      <c r="L3" s="2">
        <v>293.06404692311293</v>
      </c>
      <c r="M3" s="2">
        <v>281.15236241334156</v>
      </c>
      <c r="N3" s="2">
        <v>268.92277357169706</v>
      </c>
      <c r="O3" s="2">
        <v>256.38566259461373</v>
      </c>
      <c r="P3" s="2">
        <v>243.55048962756607</v>
      </c>
      <c r="Q3" s="2">
        <v>230.42620898581387</v>
      </c>
      <c r="R3" s="2">
        <v>217.02165766087302</v>
      </c>
      <c r="S3" s="2">
        <v>203.34592428900098</v>
      </c>
      <c r="T3" s="2">
        <v>189.40870480022321</v>
      </c>
      <c r="U3" s="2">
        <v>174.77453458507196</v>
      </c>
      <c r="V3" s="2">
        <v>159.51170392552115</v>
      </c>
      <c r="W3" s="2">
        <v>145.39731400864713</v>
      </c>
      <c r="X3" s="2">
        <v>131.29870393553583</v>
      </c>
      <c r="Y3" s="2">
        <v>117.17598700473673</v>
      </c>
      <c r="Z3" s="2">
        <v>102.98137186847174</v>
      </c>
      <c r="AA3" s="2">
        <v>88.659248380514256</v>
      </c>
      <c r="AB3" s="2">
        <v>74.145950009692243</v>
      </c>
      <c r="AC3" s="2">
        <v>59.369188132892397</v>
      </c>
      <c r="AD3" s="2">
        <v>44.247140839135191</v>
      </c>
      <c r="AE3" s="2">
        <v>28.687164853044344</v>
      </c>
      <c r="AF3" s="7"/>
      <c r="AG3" s="7"/>
      <c r="AH3" s="7"/>
      <c r="AI3" s="7"/>
      <c r="AJ3" s="7"/>
      <c r="AK3" s="7"/>
      <c r="AL3" s="8"/>
      <c r="AM3" s="8"/>
      <c r="AN3" s="8"/>
      <c r="AO3" s="8"/>
      <c r="AP3" s="8"/>
      <c r="AQ3" s="8"/>
      <c r="AR3" s="8"/>
      <c r="AS3" s="8"/>
      <c r="AT3" s="8"/>
      <c r="AU3" s="1">
        <v>40</v>
      </c>
    </row>
    <row r="4" spans="1:47" x14ac:dyDescent="0.25">
      <c r="A4" s="52"/>
      <c r="B4" s="53"/>
      <c r="C4" s="53"/>
      <c r="E4" s="3">
        <f t="shared" si="0"/>
        <v>0.38</v>
      </c>
      <c r="F4" s="5">
        <f t="shared" si="1"/>
        <v>350</v>
      </c>
      <c r="G4" s="2">
        <v>345.27113808655758</v>
      </c>
      <c r="H4" s="2">
        <v>334.89642411982243</v>
      </c>
      <c r="I4" s="2">
        <v>324.15374941764497</v>
      </c>
      <c r="J4" s="2">
        <v>313.05974665003743</v>
      </c>
      <c r="K4" s="2">
        <v>301.6284238783382</v>
      </c>
      <c r="L4" s="2">
        <v>289.87168809981398</v>
      </c>
      <c r="M4" s="2">
        <v>277.79981514748835</v>
      </c>
      <c r="N4" s="2">
        <v>265.42187775657789</v>
      </c>
      <c r="O4" s="2">
        <v>252.74614236845994</v>
      </c>
      <c r="P4" s="2">
        <v>239.78044418581754</v>
      </c>
      <c r="Q4" s="2">
        <v>226.53254908023797</v>
      </c>
      <c r="R4" s="2">
        <v>213.01051014313333</v>
      </c>
      <c r="S4" s="2">
        <v>199.22302591286248</v>
      </c>
      <c r="T4" s="2">
        <v>185.17980654658422</v>
      </c>
      <c r="U4" s="2">
        <v>169.96161409094969</v>
      </c>
      <c r="V4" s="2">
        <v>155.00968946823042</v>
      </c>
      <c r="W4" s="2">
        <v>140.949824980507</v>
      </c>
      <c r="X4" s="2">
        <v>126.92369149144412</v>
      </c>
      <c r="Y4" s="2">
        <v>112.88879824492707</v>
      </c>
      <c r="Z4" s="2">
        <v>98.796008826280797</v>
      </c>
      <c r="AA4" s="2">
        <v>84.58965302289954</v>
      </c>
      <c r="AB4" s="2">
        <v>70.207370241375202</v>
      </c>
      <c r="AC4" s="2">
        <v>55.579690912994664</v>
      </c>
      <c r="AD4" s="2">
        <v>40.629352932519119</v>
      </c>
      <c r="AE4" s="2">
        <v>25.270340598753322</v>
      </c>
      <c r="AF4" s="7"/>
      <c r="AG4" s="7"/>
      <c r="AH4" s="7"/>
      <c r="AI4" s="7"/>
      <c r="AJ4" s="7"/>
      <c r="AK4" s="7"/>
      <c r="AL4" s="8"/>
      <c r="AM4" s="8"/>
      <c r="AN4" s="8"/>
      <c r="AO4" s="8"/>
      <c r="AP4" s="8"/>
      <c r="AQ4" s="8"/>
      <c r="AR4" s="8"/>
      <c r="AS4" s="8"/>
      <c r="AT4" s="8"/>
      <c r="AU4" s="1">
        <v>39</v>
      </c>
    </row>
    <row r="5" spans="1:47" x14ac:dyDescent="0.25">
      <c r="A5" s="52"/>
      <c r="B5" s="53"/>
      <c r="C5" s="53"/>
      <c r="E5" s="3">
        <f t="shared" si="0"/>
        <v>0.37</v>
      </c>
      <c r="F5" s="5">
        <f t="shared" si="1"/>
        <v>350</v>
      </c>
      <c r="G5" s="2">
        <v>343.60120803887406</v>
      </c>
      <c r="H5" s="2">
        <v>332.92761064896467</v>
      </c>
      <c r="I5" s="2">
        <v>321.92243299764715</v>
      </c>
      <c r="J5" s="2">
        <v>310.59555085498403</v>
      </c>
      <c r="K5" s="2">
        <v>298.95542943728071</v>
      </c>
      <c r="L5" s="2">
        <v>287.009427100067</v>
      </c>
      <c r="M5" s="2">
        <v>274.76409117698387</v>
      </c>
      <c r="N5" s="2">
        <v>262.225449814721</v>
      </c>
      <c r="O5" s="2">
        <v>249.39930438672454</v>
      </c>
      <c r="P5" s="2">
        <v>236.29152767643012</v>
      </c>
      <c r="Q5" s="2">
        <v>222.90837355881584</v>
      </c>
      <c r="R5" s="2">
        <v>209.25680441471906</v>
      </c>
      <c r="S5" s="2">
        <v>195.34484300900985</v>
      </c>
      <c r="T5" s="2">
        <v>181.1819560618942</v>
      </c>
      <c r="U5" s="2">
        <v>165.28543614165986</v>
      </c>
      <c r="V5" s="2">
        <v>150.58454064606505</v>
      </c>
      <c r="W5" s="2">
        <v>136.60209793350037</v>
      </c>
      <c r="X5" s="2">
        <v>122.68274139417584</v>
      </c>
      <c r="Y5" s="2">
        <v>108.78067652978031</v>
      </c>
      <c r="Z5" s="2">
        <v>94.845068895011536</v>
      </c>
      <c r="AA5" s="2">
        <v>80.820161374034186</v>
      </c>
      <c r="AB5" s="2">
        <v>66.645182932079194</v>
      </c>
      <c r="AC5" s="2">
        <v>52.254065602925849</v>
      </c>
      <c r="AD5" s="2">
        <v>37.574979933050066</v>
      </c>
      <c r="AE5" s="2">
        <v>22.529693403406384</v>
      </c>
      <c r="AF5" s="7"/>
      <c r="AG5" s="7"/>
      <c r="AH5" s="7"/>
      <c r="AI5" s="7"/>
      <c r="AJ5" s="7"/>
      <c r="AK5" s="7"/>
      <c r="AL5" s="8"/>
      <c r="AM5" s="8"/>
      <c r="AN5" s="8"/>
      <c r="AO5" s="8"/>
      <c r="AP5" s="8"/>
      <c r="AQ5" s="8"/>
      <c r="AR5" s="8"/>
      <c r="AS5" s="8"/>
      <c r="AT5" s="8"/>
      <c r="AU5" s="1">
        <v>38</v>
      </c>
    </row>
    <row r="6" spans="1:47" x14ac:dyDescent="0.25">
      <c r="A6" s="52"/>
      <c r="B6" s="53"/>
      <c r="C6" s="53"/>
      <c r="E6" s="3">
        <f t="shared" si="0"/>
        <v>0.36</v>
      </c>
      <c r="F6" s="5">
        <f t="shared" si="1"/>
        <v>350</v>
      </c>
      <c r="G6" s="2">
        <v>342.26206563725077</v>
      </c>
      <c r="H6" s="2">
        <v>331.28344346850037</v>
      </c>
      <c r="I6" s="2">
        <v>320.00902915806591</v>
      </c>
      <c r="J6" s="2">
        <v>308.44220999553193</v>
      </c>
      <c r="K6" s="2">
        <v>296.58602859799169</v>
      </c>
      <c r="L6" s="2">
        <v>284.44330296759426</v>
      </c>
      <c r="M6" s="2">
        <v>272.01677425042851</v>
      </c>
      <c r="N6" s="2">
        <v>259.30928063406276</v>
      </c>
      <c r="O6" s="2">
        <v>246.32395793257072</v>
      </c>
      <c r="P6" s="2">
        <v>233.06446924345397</v>
      </c>
      <c r="Q6" s="2">
        <v>219.53526773511697</v>
      </c>
      <c r="R6" s="2">
        <v>205.74189823101105</v>
      </c>
      <c r="S6" s="2">
        <v>191.6913448772346</v>
      </c>
      <c r="T6" s="2">
        <v>177.39243388386586</v>
      </c>
      <c r="U6" s="2">
        <v>160.67092651905011</v>
      </c>
      <c r="V6" s="2">
        <v>146.1818080006127</v>
      </c>
      <c r="W6" s="2">
        <v>132.30082576352703</v>
      </c>
      <c r="X6" s="2">
        <v>118.52164273184442</v>
      </c>
      <c r="Y6" s="2">
        <v>104.79410153553124</v>
      </c>
      <c r="Z6" s="2">
        <v>91.064888959826916</v>
      </c>
      <c r="AA6" s="2">
        <v>77.277601959359259</v>
      </c>
      <c r="AB6" s="2">
        <v>63.372666192637503</v>
      </c>
      <c r="AC6" s="2">
        <v>49.287130852717951</v>
      </c>
      <c r="AD6" s="2">
        <v>34.954359131333227</v>
      </c>
      <c r="AE6" s="2">
        <v>20.303630809994154</v>
      </c>
      <c r="AF6" s="7"/>
      <c r="AG6" s="7"/>
      <c r="AH6" s="7"/>
      <c r="AI6" s="7"/>
      <c r="AJ6" s="7"/>
      <c r="AK6" s="7"/>
      <c r="AL6" s="8"/>
      <c r="AM6" s="8"/>
      <c r="AN6" s="8"/>
      <c r="AO6" s="8"/>
      <c r="AP6" s="8"/>
      <c r="AQ6" s="8"/>
      <c r="AR6" s="8"/>
      <c r="AS6" s="8"/>
      <c r="AT6" s="8"/>
      <c r="AU6" s="1">
        <v>37</v>
      </c>
    </row>
    <row r="7" spans="1:47" x14ac:dyDescent="0.25">
      <c r="A7" s="52"/>
      <c r="B7" s="53"/>
      <c r="C7" s="53"/>
      <c r="E7" s="3">
        <f t="shared" si="0"/>
        <v>0.35000000000000003</v>
      </c>
      <c r="F7" s="5">
        <f t="shared" si="1"/>
        <v>350</v>
      </c>
      <c r="G7" s="2">
        <v>341.1832117534442</v>
      </c>
      <c r="H7" s="2">
        <v>329.90524418845837</v>
      </c>
      <c r="I7" s="2">
        <v>318.36472478038485</v>
      </c>
      <c r="J7" s="2">
        <v>306.55910922983026</v>
      </c>
      <c r="K7" s="2">
        <v>294.486374920684</v>
      </c>
      <c r="L7" s="2">
        <v>282.14499812750284</v>
      </c>
      <c r="M7" s="2">
        <v>269.53398328529425</v>
      </c>
      <c r="N7" s="2">
        <v>256.65293974057886</v>
      </c>
      <c r="O7" s="2">
        <v>243.50220432168447</v>
      </c>
      <c r="P7" s="2">
        <v>230.08301069012842</v>
      </c>
      <c r="Q7" s="2">
        <v>216.39770891060925</v>
      </c>
      <c r="R7" s="2">
        <v>202.45004113552608</v>
      </c>
      <c r="S7" s="2">
        <v>188.24548186306842</v>
      </c>
      <c r="T7" s="2">
        <v>173.7916540148974</v>
      </c>
      <c r="U7" s="2">
        <v>156.03543302329319</v>
      </c>
      <c r="V7" s="2">
        <v>141.7372808958028</v>
      </c>
      <c r="W7" s="2">
        <v>127.98532991826173</v>
      </c>
      <c r="X7" s="2">
        <v>114.38137256847341</v>
      </c>
      <c r="Y7" s="2">
        <v>100.86959820012066</v>
      </c>
      <c r="Z7" s="2">
        <v>87.393183710017553</v>
      </c>
      <c r="AA7" s="2">
        <v>73.89422584303901</v>
      </c>
      <c r="AB7" s="2">
        <v>60.313589570752235</v>
      </c>
      <c r="AC7" s="2">
        <v>46.590698536716921</v>
      </c>
      <c r="AD7" s="2">
        <v>32.663290649586273</v>
      </c>
      <c r="AE7" s="2">
        <v>18.467161019868996</v>
      </c>
      <c r="AF7" s="7"/>
      <c r="AG7" s="7"/>
      <c r="AH7" s="7"/>
      <c r="AI7" s="7"/>
      <c r="AJ7" s="7"/>
      <c r="AK7" s="7"/>
      <c r="AL7" s="8"/>
      <c r="AM7" s="8"/>
      <c r="AN7" s="8"/>
      <c r="AO7" s="8"/>
      <c r="AP7" s="8"/>
      <c r="AQ7" s="8"/>
      <c r="AR7" s="8"/>
      <c r="AS7" s="8"/>
      <c r="AT7" s="8"/>
      <c r="AU7" s="1">
        <v>36</v>
      </c>
    </row>
    <row r="8" spans="1:47" x14ac:dyDescent="0.25">
      <c r="A8" s="55" t="s">
        <v>17</v>
      </c>
      <c r="B8" s="15" t="s">
        <v>6</v>
      </c>
      <c r="C8" s="15">
        <v>0.4</v>
      </c>
      <c r="E8" s="3">
        <f t="shared" si="0"/>
        <v>0.34</v>
      </c>
      <c r="F8" s="5">
        <f t="shared" si="1"/>
        <v>350</v>
      </c>
      <c r="G8" s="2">
        <v>340.31079221173457</v>
      </c>
      <c r="H8" s="2">
        <v>328.74729555286581</v>
      </c>
      <c r="I8" s="2">
        <v>316.95087364860115</v>
      </c>
      <c r="J8" s="2">
        <v>304.91370484293043</v>
      </c>
      <c r="K8" s="2">
        <v>292.62914726412049</v>
      </c>
      <c r="L8" s="2">
        <v>280.09160933372402</v>
      </c>
      <c r="M8" s="2">
        <v>267.29648644423696</v>
      </c>
      <c r="N8" s="2">
        <v>254.24015802681578</v>
      </c>
      <c r="O8" s="2">
        <v>240.92004248598116</v>
      </c>
      <c r="P8" s="2">
        <v>227.33471050944814</v>
      </c>
      <c r="Q8" s="2">
        <v>213.48406022739326</v>
      </c>
      <c r="R8" s="2">
        <v>199.36956074861763</v>
      </c>
      <c r="S8" s="2">
        <v>184.9945738937264</v>
      </c>
      <c r="T8" s="2">
        <v>170.3647676382501</v>
      </c>
      <c r="U8" s="2">
        <v>151.28551043497004</v>
      </c>
      <c r="V8" s="2">
        <v>137.17564210616243</v>
      </c>
      <c r="W8" s="2">
        <v>123.58669599095421</v>
      </c>
      <c r="X8" s="2">
        <v>110.19747839637279</v>
      </c>
      <c r="Y8" s="2">
        <v>96.945133218448973</v>
      </c>
      <c r="Z8" s="2">
        <v>83.768203171646846</v>
      </c>
      <c r="AA8" s="2">
        <v>70.606326555537635</v>
      </c>
      <c r="AB8" s="2">
        <v>57.399920664867594</v>
      </c>
      <c r="AC8" s="2">
        <v>44.089874174034904</v>
      </c>
      <c r="AD8" s="2">
        <v>30.617269290227647</v>
      </c>
      <c r="AE8" s="2">
        <v>16.923155049045146</v>
      </c>
      <c r="AF8" s="7"/>
      <c r="AG8" s="7"/>
      <c r="AH8" s="7"/>
      <c r="AI8" s="7"/>
      <c r="AJ8" s="7"/>
      <c r="AK8" s="8"/>
      <c r="AL8" s="8"/>
      <c r="AM8" s="8"/>
      <c r="AN8" s="8"/>
      <c r="AO8" s="8"/>
      <c r="AP8" s="8"/>
      <c r="AQ8" s="8"/>
      <c r="AR8" s="8"/>
      <c r="AS8" s="8"/>
      <c r="AT8" s="8"/>
      <c r="AU8" s="1">
        <v>35</v>
      </c>
    </row>
    <row r="9" spans="1:47" x14ac:dyDescent="0.25">
      <c r="A9" s="55"/>
      <c r="B9" s="15" t="s">
        <v>7</v>
      </c>
      <c r="C9" s="15">
        <v>0.4</v>
      </c>
      <c r="E9" s="3">
        <f t="shared" si="0"/>
        <v>0.33</v>
      </c>
      <c r="F9" s="5">
        <f t="shared" si="1"/>
        <v>350</v>
      </c>
      <c r="G9" s="2">
        <v>339.60382248172476</v>
      </c>
      <c r="H9" s="2">
        <v>327.77426407559625</v>
      </c>
      <c r="I9" s="2">
        <v>315.73730579358869</v>
      </c>
      <c r="J9" s="2">
        <v>303.48049313036171</v>
      </c>
      <c r="K9" s="2">
        <v>290.99301495202189</v>
      </c>
      <c r="L9" s="2">
        <v>278.26549468659721</v>
      </c>
      <c r="M9" s="2">
        <v>265.28985316415611</v>
      </c>
      <c r="N9" s="2">
        <v>252.05923723902706</v>
      </c>
      <c r="O9" s="2">
        <v>238.56801155450282</v>
      </c>
      <c r="P9" s="2">
        <v>224.81181392934826</v>
      </c>
      <c r="Q9" s="2">
        <v>210.78767801325958</v>
      </c>
      <c r="R9" s="2">
        <v>196.49423023652582</v>
      </c>
      <c r="S9" s="2">
        <v>181.93197184058315</v>
      </c>
      <c r="T9" s="2">
        <v>167.10366111450509</v>
      </c>
      <c r="U9" s="2">
        <v>146.31289677868776</v>
      </c>
      <c r="V9" s="2">
        <v>132.40834156668475</v>
      </c>
      <c r="W9" s="2">
        <v>119.02636165891263</v>
      </c>
      <c r="X9" s="2">
        <v>105.89909382522838</v>
      </c>
      <c r="Y9" s="2">
        <v>92.955299891306623</v>
      </c>
      <c r="Z9" s="2">
        <v>80.127834616783574</v>
      </c>
      <c r="AA9" s="2">
        <v>67.352990997572761</v>
      </c>
      <c r="AB9" s="2">
        <v>54.569915899356424</v>
      </c>
      <c r="AC9" s="2">
        <v>41.720107816339222</v>
      </c>
      <c r="AD9" s="2">
        <v>28.747008789711295</v>
      </c>
      <c r="AE9" s="2">
        <v>15.59570459455975</v>
      </c>
      <c r="AF9" s="7"/>
      <c r="AG9" s="7"/>
      <c r="AH9" s="7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1">
        <v>34</v>
      </c>
    </row>
    <row r="10" spans="1:47" x14ac:dyDescent="0.25">
      <c r="A10" s="55"/>
      <c r="B10" s="15" t="s">
        <v>9</v>
      </c>
      <c r="C10" s="16">
        <f>C8/40</f>
        <v>0.01</v>
      </c>
      <c r="E10" s="3">
        <f t="shared" si="0"/>
        <v>0.32</v>
      </c>
      <c r="F10" s="5">
        <f t="shared" si="1"/>
        <v>350</v>
      </c>
      <c r="G10" s="2">
        <v>339.0313267867686</v>
      </c>
      <c r="H10" s="2">
        <v>326.95921783475524</v>
      </c>
      <c r="I10" s="2">
        <v>314.70101298944439</v>
      </c>
      <c r="J10" s="2">
        <v>302.24020882199886</v>
      </c>
      <c r="K10" s="2">
        <v>289.56223851138537</v>
      </c>
      <c r="L10" s="2">
        <v>276.65420120899239</v>
      </c>
      <c r="M10" s="2">
        <v>263.50466159642161</v>
      </c>
      <c r="N10" s="2">
        <v>250.10351408040964</v>
      </c>
      <c r="O10" s="2">
        <v>236.44190898649302</v>
      </c>
      <c r="P10" s="2">
        <v>222.51224103774331</v>
      </c>
      <c r="Q10" s="2">
        <v>208.30820348260499</v>
      </c>
      <c r="R10" s="2">
        <v>193.82491462615044</v>
      </c>
      <c r="S10" s="2">
        <v>179.05912740358735</v>
      </c>
      <c r="T10" s="2">
        <v>164.00953722714007</v>
      </c>
      <c r="U10" s="2">
        <v>140.98939609203524</v>
      </c>
      <c r="V10" s="2">
        <v>127.33058291549219</v>
      </c>
      <c r="W10" s="2">
        <v>114.2141188517851</v>
      </c>
      <c r="X10" s="2">
        <v>101.40758992109194</v>
      </c>
      <c r="Y10" s="2">
        <v>88.83031238453988</v>
      </c>
      <c r="Z10" s="2">
        <v>76.408668811744192</v>
      </c>
      <c r="AA10" s="2">
        <v>64.074978993808372</v>
      </c>
      <c r="AB10" s="2">
        <v>51.766544238806254</v>
      </c>
      <c r="AC10" s="2">
        <v>39.424858467416172</v>
      </c>
      <c r="AD10" s="2">
        <v>26.994982548868229</v>
      </c>
      <c r="AE10" s="2">
        <v>14.425082464201189</v>
      </c>
      <c r="AF10" s="7"/>
      <c r="AG10" s="7"/>
      <c r="AH10" s="7"/>
      <c r="AI10" s="7"/>
      <c r="AJ10" s="7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1">
        <v>33</v>
      </c>
    </row>
    <row r="11" spans="1:47" x14ac:dyDescent="0.25">
      <c r="A11" s="55"/>
      <c r="B11" s="15" t="s">
        <v>10</v>
      </c>
      <c r="C11" s="16">
        <f>C9/40</f>
        <v>0.01</v>
      </c>
      <c r="E11" s="3">
        <f t="shared" si="0"/>
        <v>0.31</v>
      </c>
      <c r="F11" s="5">
        <f t="shared" si="1"/>
        <v>350</v>
      </c>
      <c r="G11" s="2">
        <v>338.5701757630917</v>
      </c>
      <c r="H11" s="2">
        <v>326.28210871895971</v>
      </c>
      <c r="I11" s="2">
        <v>313.82513566356636</v>
      </c>
      <c r="J11" s="2">
        <v>301.17921466958535</v>
      </c>
      <c r="K11" s="2">
        <v>288.32639123982142</v>
      </c>
      <c r="L11" s="2">
        <v>275.25047416455999</v>
      </c>
      <c r="M11" s="2">
        <v>261.93677465658584</v>
      </c>
      <c r="N11" s="2">
        <v>248.37190328897287</v>
      </c>
      <c r="O11" s="2">
        <v>234.54362163134704</v>
      </c>
      <c r="P11" s="2">
        <v>220.44074793473385</v>
      </c>
      <c r="Q11" s="2">
        <v>206.05311887617148</v>
      </c>
      <c r="R11" s="2">
        <v>191.37161238554162</v>
      </c>
      <c r="S11" s="2">
        <v>176.38824011089767</v>
      </c>
      <c r="T11" s="2">
        <v>161.09632234620153</v>
      </c>
      <c r="U11" s="2">
        <v>135.1603038263585</v>
      </c>
      <c r="V11" s="2">
        <v>121.817258713621</v>
      </c>
      <c r="W11" s="2">
        <v>109.04545881359724</v>
      </c>
      <c r="X11" s="2">
        <v>96.634846239316616</v>
      </c>
      <c r="Y11" s="2">
        <v>84.494821297172408</v>
      </c>
      <c r="Z11" s="2">
        <v>72.545048229158027</v>
      </c>
      <c r="AA11" s="2">
        <v>60.713734254055808</v>
      </c>
      <c r="AB11" s="2">
        <v>48.936208975249308</v>
      </c>
      <c r="AC11" s="2">
        <v>37.153770642350203</v>
      </c>
      <c r="AD11" s="2">
        <v>25.312773130434177</v>
      </c>
      <c r="AE11" s="2">
        <v>13.363934791625233</v>
      </c>
      <c r="AF11" s="7"/>
      <c r="AG11" s="7"/>
      <c r="AH11" s="7"/>
      <c r="AI11" s="7"/>
      <c r="AJ11" s="7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1">
        <v>32</v>
      </c>
    </row>
    <row r="12" spans="1:47" x14ac:dyDescent="0.25">
      <c r="A12" s="55"/>
      <c r="B12" s="15" t="s">
        <v>11</v>
      </c>
      <c r="C12" s="15">
        <v>5000</v>
      </c>
      <c r="D12">
        <v>5010</v>
      </c>
      <c r="E12" s="3">
        <f t="shared" si="0"/>
        <v>0.3</v>
      </c>
      <c r="F12" s="5">
        <f t="shared" si="1"/>
        <v>350</v>
      </c>
      <c r="G12" s="2">
        <v>338.20345874660654</v>
      </c>
      <c r="H12" s="2">
        <v>325.72861706577976</v>
      </c>
      <c r="I12" s="2">
        <v>313.09819035190299</v>
      </c>
      <c r="J12" s="2">
        <v>300.28904860817255</v>
      </c>
      <c r="K12" s="2">
        <v>287.28018638194351</v>
      </c>
      <c r="L12" s="2">
        <v>274.05234618932769</v>
      </c>
      <c r="M12" s="2">
        <v>260.5876940855693</v>
      </c>
      <c r="N12" s="2">
        <v>246.86954125133337</v>
      </c>
      <c r="O12" s="2">
        <v>232.88210706801937</v>
      </c>
      <c r="P12" s="2">
        <v>218.61032084418486</v>
      </c>
      <c r="Q12" s="2">
        <v>204.03966121517863</v>
      </c>
      <c r="R12" s="2">
        <v>189.15603437606075</v>
      </c>
      <c r="S12" s="2">
        <v>173.94569485937839</v>
      </c>
      <c r="T12" s="2">
        <v>158.39521570741741</v>
      </c>
      <c r="U12" s="2">
        <v>128.63590320063321</v>
      </c>
      <c r="V12" s="2">
        <v>115.71760162175208</v>
      </c>
      <c r="W12" s="2">
        <v>103.39815244746919</v>
      </c>
      <c r="X12" s="2">
        <v>91.48110852038144</v>
      </c>
      <c r="Y12" s="2">
        <v>79.866556680437071</v>
      </c>
      <c r="Z12" s="2">
        <v>68.46811641931393</v>
      </c>
      <c r="AA12" s="2">
        <v>57.210537574235573</v>
      </c>
      <c r="AB12" s="2">
        <v>46.027749461507469</v>
      </c>
      <c r="AC12" s="2">
        <v>34.861292557719679</v>
      </c>
      <c r="AD12" s="2">
        <v>23.659077533554004</v>
      </c>
      <c r="AE12" s="2">
        <v>12.374428285360015</v>
      </c>
      <c r="AF12" s="7"/>
      <c r="AG12" s="7"/>
      <c r="AH12" s="7"/>
      <c r="AI12" s="7"/>
      <c r="AJ12" s="7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1">
        <v>31</v>
      </c>
    </row>
    <row r="13" spans="1:47" x14ac:dyDescent="0.25">
      <c r="A13" s="55"/>
      <c r="B13" s="15" t="s">
        <v>12</v>
      </c>
      <c r="C13" s="15">
        <v>10</v>
      </c>
      <c r="E13" s="3">
        <f t="shared" si="0"/>
        <v>0.28999999999999998</v>
      </c>
      <c r="F13" s="5">
        <f t="shared" si="1"/>
        <v>350</v>
      </c>
      <c r="G13" s="2">
        <v>337.91926616935962</v>
      </c>
      <c r="H13" s="2">
        <v>325.28927842295059</v>
      </c>
      <c r="I13" s="2">
        <v>312.51348717263915</v>
      </c>
      <c r="J13" s="2">
        <v>299.56609799960523</v>
      </c>
      <c r="K13" s="2">
        <v>286.42339346221189</v>
      </c>
      <c r="L13" s="2">
        <v>273.06330087500061</v>
      </c>
      <c r="M13" s="2">
        <v>259.46499804769041</v>
      </c>
      <c r="N13" s="2">
        <v>245.60854914033499</v>
      </c>
      <c r="O13" s="2">
        <v>231.47456341172847</v>
      </c>
      <c r="P13" s="2">
        <v>217.04387024582925</v>
      </c>
      <c r="Q13" s="2">
        <v>202.29720446291515</v>
      </c>
      <c r="R13" s="2">
        <v>187.21489660049679</v>
      </c>
      <c r="S13" s="2">
        <v>171.77656364392931</v>
      </c>
      <c r="T13" s="2">
        <v>155.96079668166277</v>
      </c>
      <c r="U13" s="2">
        <v>121.18041608065616</v>
      </c>
      <c r="V13" s="2">
        <v>108.84823473656022</v>
      </c>
      <c r="W13" s="2">
        <v>97.127917007744102</v>
      </c>
      <c r="X13" s="2">
        <v>85.832383568853004</v>
      </c>
      <c r="Y13" s="2">
        <v>74.854802223641997</v>
      </c>
      <c r="Z13" s="2">
        <v>64.104893395158896</v>
      </c>
      <c r="AA13" s="2">
        <v>53.505824549305814</v>
      </c>
      <c r="AB13" s="2">
        <v>42.991722573864038</v>
      </c>
      <c r="AC13" s="2">
        <v>32.505693402790769</v>
      </c>
      <c r="AD13" s="2">
        <v>21.998260132251765</v>
      </c>
      <c r="AE13" s="2">
        <v>11.426148660626062</v>
      </c>
      <c r="AF13" s="7"/>
      <c r="AG13" s="7"/>
      <c r="AH13" s="7"/>
      <c r="AI13" s="7"/>
      <c r="AJ13" s="7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1">
        <v>30</v>
      </c>
    </row>
    <row r="14" spans="1:47" x14ac:dyDescent="0.25">
      <c r="E14" s="3">
        <f t="shared" si="0"/>
        <v>0.28000000000000003</v>
      </c>
      <c r="F14" s="5">
        <f t="shared" si="1"/>
        <v>350</v>
      </c>
      <c r="G14" s="2">
        <v>337.70978743398922</v>
      </c>
      <c r="H14" s="2">
        <v>324.95882852054694</v>
      </c>
      <c r="I14" s="2">
        <v>312.06869408307796</v>
      </c>
      <c r="J14" s="2">
        <v>299.01137180623277</v>
      </c>
      <c r="K14" s="2">
        <v>285.76082496133591</v>
      </c>
      <c r="L14" s="2">
        <v>272.29250116375084</v>
      </c>
      <c r="M14" s="2">
        <v>258.58286326088023</v>
      </c>
      <c r="N14" s="2">
        <v>244.60893169407649</v>
      </c>
      <c r="O14" s="2">
        <v>230.34782713539363</v>
      </c>
      <c r="P14" s="2">
        <v>215.77630143476267</v>
      </c>
      <c r="Q14" s="2">
        <v>200.87024387225264</v>
      </c>
      <c r="R14" s="2">
        <v>185.60414833817751</v>
      </c>
      <c r="S14" s="2">
        <v>169.95052530053428</v>
      </c>
      <c r="T14" s="2">
        <v>153.87924019719031</v>
      </c>
      <c r="U14" s="2">
        <v>112.49759909111756</v>
      </c>
      <c r="V14" s="2">
        <v>100.98419904484452</v>
      </c>
      <c r="W14" s="2">
        <v>90.062971595981395</v>
      </c>
      <c r="X14" s="2">
        <v>79.557305520133582</v>
      </c>
      <c r="Y14" s="2">
        <v>69.358705506535983</v>
      </c>
      <c r="Z14" s="2">
        <v>59.377412200473152</v>
      </c>
      <c r="AA14" s="2">
        <v>49.538705584399501</v>
      </c>
      <c r="AB14" s="2">
        <v>39.779983736681253</v>
      </c>
      <c r="AC14" s="2">
        <v>30.048463792432702</v>
      </c>
      <c r="AD14" s="2">
        <v>20.299383190814154</v>
      </c>
      <c r="AE14" s="2">
        <v>10.494603745605129</v>
      </c>
      <c r="AF14" s="7"/>
      <c r="AG14" s="7"/>
      <c r="AH14" s="7"/>
      <c r="AI14" s="7"/>
      <c r="AJ14" s="7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1">
        <v>29</v>
      </c>
    </row>
    <row r="15" spans="1:47" ht="15" customHeight="1" x14ac:dyDescent="0.25">
      <c r="A15" s="38" t="s">
        <v>16</v>
      </c>
      <c r="B15" s="17" t="s">
        <v>13</v>
      </c>
      <c r="C15" s="18">
        <v>385</v>
      </c>
      <c r="E15" s="3">
        <f t="shared" si="0"/>
        <v>0.27</v>
      </c>
      <c r="F15" s="5">
        <f t="shared" si="1"/>
        <v>350</v>
      </c>
      <c r="G15" s="2">
        <v>337.57065229238879</v>
      </c>
      <c r="H15" s="2">
        <v>324.73571453362791</v>
      </c>
      <c r="I15" s="2">
        <v>311.76550924107283</v>
      </c>
      <c r="J15" s="2">
        <v>298.6303409826811</v>
      </c>
      <c r="K15" s="2">
        <v>285.30237061491954</v>
      </c>
      <c r="L15" s="2">
        <v>271.75506720797574</v>
      </c>
      <c r="M15" s="2">
        <v>257.96266682003926</v>
      </c>
      <c r="N15" s="2">
        <v>243.89962397450688</v>
      </c>
      <c r="O15" s="2">
        <v>229.54003993101173</v>
      </c>
      <c r="P15" s="2">
        <v>214.85704956372962</v>
      </c>
      <c r="Q15" s="2">
        <v>199.82214571944044</v>
      </c>
      <c r="R15" s="2">
        <v>184.40441614540885</v>
      </c>
      <c r="S15" s="2">
        <v>168.5696632363329</v>
      </c>
      <c r="T15" s="2">
        <v>152.27937068195197</v>
      </c>
      <c r="U15" s="2">
        <v>102.21191968138021</v>
      </c>
      <c r="V15" s="2">
        <v>91.847402372455377</v>
      </c>
      <c r="W15" s="2">
        <v>81.997225433473417</v>
      </c>
      <c r="X15" s="2">
        <v>72.503391202562241</v>
      </c>
      <c r="Y15" s="2">
        <v>63.265434682981081</v>
      </c>
      <c r="Z15" s="2">
        <v>54.201967802503958</v>
      </c>
      <c r="AA15" s="2">
        <v>45.246746657137486</v>
      </c>
      <c r="AB15" s="2">
        <v>36.345610722666635</v>
      </c>
      <c r="AC15" s="2">
        <v>27.454110429742286</v>
      </c>
      <c r="AD15" s="2">
        <v>18.535678563339701</v>
      </c>
      <c r="AE15" s="2">
        <v>9.5602308872596247</v>
      </c>
      <c r="AF15" s="7"/>
      <c r="AG15" s="7"/>
      <c r="AH15" s="7"/>
      <c r="AI15" s="7"/>
      <c r="AJ15" s="7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1">
        <v>28</v>
      </c>
    </row>
    <row r="16" spans="1:47" x14ac:dyDescent="0.25">
      <c r="A16" s="39"/>
      <c r="B16" s="19" t="s">
        <v>14</v>
      </c>
      <c r="C16" s="18">
        <v>8920</v>
      </c>
      <c r="E16" s="3">
        <f t="shared" si="0"/>
        <v>0.26</v>
      </c>
      <c r="F16" s="5">
        <f t="shared" si="1"/>
        <v>350</v>
      </c>
      <c r="G16" s="2">
        <v>337.50046092459684</v>
      </c>
      <c r="H16" s="2">
        <v>324.62172912304106</v>
      </c>
      <c r="I16" s="2">
        <v>311.60940478270692</v>
      </c>
      <c r="J16" s="2">
        <v>298.43281467933474</v>
      </c>
      <c r="K16" s="2">
        <v>285.06305065212263</v>
      </c>
      <c r="L16" s="2">
        <v>271.47238052851441</v>
      </c>
      <c r="M16" s="2">
        <v>257.63365495229084</v>
      </c>
      <c r="N16" s="2">
        <v>243.51969299378968</v>
      </c>
      <c r="O16" s="2">
        <v>229.10262670125502</v>
      </c>
      <c r="P16" s="2">
        <v>214.35318124902759</v>
      </c>
      <c r="Q16" s="2">
        <v>199.23986281776004</v>
      </c>
      <c r="R16" s="2">
        <v>183.72802051584526</v>
      </c>
      <c r="S16" s="2">
        <v>167.77874115905536</v>
      </c>
      <c r="T16" s="2">
        <v>151.34752611101766</v>
      </c>
      <c r="U16" s="2">
        <v>89.843907728745421</v>
      </c>
      <c r="V16" s="2">
        <v>81.091763144222</v>
      </c>
      <c r="W16" s="2">
        <v>72.681771443298231</v>
      </c>
      <c r="X16" s="2">
        <v>64.492585514512697</v>
      </c>
      <c r="Y16" s="2">
        <v>56.448202848916921</v>
      </c>
      <c r="Z16" s="2">
        <v>48.48855259022131</v>
      </c>
      <c r="AA16" s="2">
        <v>40.566096617553889</v>
      </c>
      <c r="AB16" s="2">
        <v>32.64324163198706</v>
      </c>
      <c r="AC16" s="2">
        <v>24.690384846782742</v>
      </c>
      <c r="AD16" s="2">
        <v>16.684455758845502</v>
      </c>
      <c r="AE16" s="2">
        <v>8.6078466658622759</v>
      </c>
      <c r="AF16" s="7"/>
      <c r="AG16" s="7"/>
      <c r="AH16" s="7"/>
      <c r="AI16" s="7"/>
      <c r="AJ16" s="7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1">
        <v>27</v>
      </c>
    </row>
    <row r="17" spans="1:47" x14ac:dyDescent="0.25">
      <c r="A17" s="39"/>
      <c r="B17" s="19" t="s">
        <v>15</v>
      </c>
      <c r="C17" s="18">
        <v>402</v>
      </c>
      <c r="E17" s="6">
        <f t="shared" si="0"/>
        <v>0.25</v>
      </c>
      <c r="F17" s="5">
        <f t="shared" si="1"/>
        <v>350</v>
      </c>
      <c r="G17" s="2">
        <v>337.50046092459684</v>
      </c>
      <c r="H17" s="2">
        <v>324.62172912304106</v>
      </c>
      <c r="I17" s="2">
        <v>311.60940478270692</v>
      </c>
      <c r="J17" s="2">
        <v>298.43281467933474</v>
      </c>
      <c r="K17" s="2">
        <v>285.06305065212263</v>
      </c>
      <c r="L17" s="2">
        <v>271.47238052851441</v>
      </c>
      <c r="M17" s="2">
        <v>257.63365495229084</v>
      </c>
      <c r="N17" s="2">
        <v>243.51969299378968</v>
      </c>
      <c r="O17" s="2">
        <v>229.10262670125502</v>
      </c>
      <c r="P17" s="2">
        <v>214.35318124902759</v>
      </c>
      <c r="Q17" s="2">
        <v>199.23986281776004</v>
      </c>
      <c r="R17" s="2">
        <v>183.72802051584526</v>
      </c>
      <c r="S17" s="2">
        <v>167.77874115905536</v>
      </c>
      <c r="T17" s="2">
        <v>151.34752611101766</v>
      </c>
      <c r="U17" s="2">
        <v>74.777829335604139</v>
      </c>
      <c r="V17" s="2">
        <v>68.284101975141809</v>
      </c>
      <c r="W17" s="2">
        <v>61.81426955630409</v>
      </c>
      <c r="X17" s="2">
        <v>55.315980806891545</v>
      </c>
      <c r="Y17" s="2">
        <v>48.764199389280542</v>
      </c>
      <c r="Z17" s="2">
        <v>42.140585208933928</v>
      </c>
      <c r="AA17" s="2">
        <v>35.432082859520143</v>
      </c>
      <c r="AB17" s="2">
        <v>28.629933294008922</v>
      </c>
      <c r="AC17" s="2">
        <v>21.729018623412841</v>
      </c>
      <c r="AD17" s="2">
        <v>14.7274730504475</v>
      </c>
      <c r="AE17" s="2">
        <v>7.6265103931046028</v>
      </c>
      <c r="AF17" s="7"/>
      <c r="AG17" s="7"/>
      <c r="AH17" s="7"/>
      <c r="AI17" s="7"/>
      <c r="AJ17" s="7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1">
        <v>26</v>
      </c>
    </row>
    <row r="18" spans="1:47" x14ac:dyDescent="0.25">
      <c r="A18" s="40"/>
      <c r="B18" s="19" t="s">
        <v>18</v>
      </c>
      <c r="C18" s="18">
        <v>1000</v>
      </c>
      <c r="E18" s="3">
        <f t="shared" si="0"/>
        <v>0.24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2">
        <v>56.219235386886311</v>
      </c>
      <c r="V18" s="2">
        <v>52.879549390758172</v>
      </c>
      <c r="W18" s="2">
        <v>49.025694809953535</v>
      </c>
      <c r="X18" s="2">
        <v>44.727577687799752</v>
      </c>
      <c r="Y18" s="2">
        <v>40.0524952838255</v>
      </c>
      <c r="Z18" s="2">
        <v>35.055084160622698</v>
      </c>
      <c r="AA18" s="2">
        <v>29.780444675210024</v>
      </c>
      <c r="AB18" s="2">
        <v>24.266690141789432</v>
      </c>
      <c r="AC18" s="2">
        <v>18.547075723633885</v>
      </c>
      <c r="AD18" s="2">
        <v>12.651831727178187</v>
      </c>
      <c r="AE18" s="2">
        <v>6.6098038265566412</v>
      </c>
      <c r="AF18" s="7"/>
      <c r="AG18" s="7"/>
      <c r="AH18" s="7"/>
      <c r="AI18" s="7"/>
      <c r="AJ18" s="7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1">
        <v>25</v>
      </c>
    </row>
    <row r="19" spans="1:47" x14ac:dyDescent="0.25">
      <c r="E19" s="3">
        <f t="shared" si="0"/>
        <v>0.23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2">
        <v>42.266592187758619</v>
      </c>
      <c r="V19" s="2">
        <v>41.002161911368496</v>
      </c>
      <c r="W19" s="2">
        <v>38.94289337101754</v>
      </c>
      <c r="X19" s="2">
        <v>36.216752105230242</v>
      </c>
      <c r="Y19" s="2">
        <v>32.935452610793909</v>
      </c>
      <c r="Z19" s="2">
        <v>29.190021102418527</v>
      </c>
      <c r="AA19" s="2">
        <v>25.055597419390182</v>
      </c>
      <c r="AB19" s="2">
        <v>20.595337535765648</v>
      </c>
      <c r="AC19" s="2">
        <v>15.863643547397556</v>
      </c>
      <c r="AD19" s="2">
        <v>10.908904350295742</v>
      </c>
      <c r="AE19" s="2">
        <v>5.7758980349859366</v>
      </c>
      <c r="AF19" s="7"/>
      <c r="AG19" s="7"/>
      <c r="AH19" s="7"/>
      <c r="AI19" s="7"/>
      <c r="AJ19" s="7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1">
        <v>24</v>
      </c>
    </row>
    <row r="20" spans="1:47" x14ac:dyDescent="0.25">
      <c r="A20" s="41" t="s">
        <v>22</v>
      </c>
      <c r="B20" s="20" t="s">
        <v>19</v>
      </c>
      <c r="C20" s="21">
        <f>C17/(C10^2)</f>
        <v>4020000</v>
      </c>
      <c r="E20" s="3">
        <f t="shared" si="0"/>
        <v>0.22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2">
        <v>31.776782316585408</v>
      </c>
      <c r="V20" s="2">
        <v>31.841931345065387</v>
      </c>
      <c r="W20" s="2">
        <v>30.995792000072029</v>
      </c>
      <c r="X20" s="2">
        <v>29.385648523162082</v>
      </c>
      <c r="Y20" s="2">
        <v>27.138222948020687</v>
      </c>
      <c r="Z20" s="2">
        <v>24.357961061183978</v>
      </c>
      <c r="AA20" s="2">
        <v>21.131959655775677</v>
      </c>
      <c r="AB20" s="2">
        <v>17.534011020517354</v>
      </c>
      <c r="AC20" s="2">
        <v>13.627979249522566</v>
      </c>
      <c r="AD20" s="2">
        <v>9.4706842162767781</v>
      </c>
      <c r="AE20" s="2">
        <v>5.1144403601363759</v>
      </c>
      <c r="AF20" s="7"/>
      <c r="AG20" s="7"/>
      <c r="AH20" s="7"/>
      <c r="AI20" s="7"/>
      <c r="AJ20" s="7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">
        <v>23</v>
      </c>
    </row>
    <row r="21" spans="1:47" x14ac:dyDescent="0.25">
      <c r="A21" s="41"/>
      <c r="B21" s="20" t="s">
        <v>20</v>
      </c>
      <c r="C21" s="21">
        <f>2*C20+(C16*C15)/C13</f>
        <v>8383420</v>
      </c>
      <c r="E21" s="3">
        <f t="shared" si="0"/>
        <v>0.21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2">
        <v>23.8903926684624</v>
      </c>
      <c r="V21" s="2">
        <v>24.776817738498046</v>
      </c>
      <c r="W21" s="2">
        <v>24.736636269103638</v>
      </c>
      <c r="X21" s="2">
        <v>23.914249607754709</v>
      </c>
      <c r="Y21" s="2">
        <v>22.43417199313172</v>
      </c>
      <c r="Z21" s="2">
        <v>20.400422621221132</v>
      </c>
      <c r="AA21" s="2">
        <v>17.900816322850403</v>
      </c>
      <c r="AB21" s="2">
        <v>15.010535426995757</v>
      </c>
      <c r="AC21" s="2">
        <v>11.795150934825863</v>
      </c>
      <c r="AD21" s="2">
        <v>8.3132336601764543</v>
      </c>
      <c r="AE21" s="2">
        <v>4.6186756300080907</v>
      </c>
      <c r="AF21" s="7"/>
      <c r="AG21" s="7"/>
      <c r="AH21" s="7"/>
      <c r="AI21" s="7"/>
      <c r="AJ21" s="7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">
        <v>22</v>
      </c>
    </row>
    <row r="22" spans="1:47" x14ac:dyDescent="0.25">
      <c r="A22" s="41"/>
      <c r="B22" s="20" t="s">
        <v>21</v>
      </c>
      <c r="C22" s="21">
        <f>C20</f>
        <v>4020000</v>
      </c>
      <c r="E22" s="3">
        <f t="shared" si="0"/>
        <v>0.2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2">
        <v>17.961304133775997</v>
      </c>
      <c r="V22" s="2">
        <v>19.329027248917122</v>
      </c>
      <c r="W22" s="2">
        <v>19.813832098239729</v>
      </c>
      <c r="X22" s="2">
        <v>19.545570234313686</v>
      </c>
      <c r="Y22" s="2">
        <v>18.637226402351743</v>
      </c>
      <c r="Z22" s="2">
        <v>17.18456844443892</v>
      </c>
      <c r="AA22" s="2">
        <v>15.269499491475054</v>
      </c>
      <c r="AB22" s="2">
        <v>12.962895973118339</v>
      </c>
      <c r="AC22" s="2">
        <v>10.327045156581534</v>
      </c>
      <c r="AD22" s="2">
        <v>7.4177801779609176</v>
      </c>
      <c r="AE22" s="2">
        <v>4.2863989158868527</v>
      </c>
      <c r="AF22" s="7"/>
      <c r="AG22" s="7"/>
      <c r="AH22" s="7"/>
      <c r="AI22" s="7"/>
      <c r="AJ22" s="7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1">
        <v>21</v>
      </c>
    </row>
    <row r="23" spans="1:47" x14ac:dyDescent="0.25">
      <c r="E23" s="3">
        <f t="shared" si="0"/>
        <v>0.19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2">
        <v>13.503756107765376</v>
      </c>
      <c r="V23" s="2">
        <v>15.131520837621055</v>
      </c>
      <c r="W23" s="2">
        <v>15.951438850721793</v>
      </c>
      <c r="X23" s="2">
        <v>16.073684387645834</v>
      </c>
      <c r="Y23" s="2">
        <v>15.595387261051123</v>
      </c>
      <c r="Z23" s="2">
        <v>14.600141177092539</v>
      </c>
      <c r="AA23" s="2">
        <v>13.160368697481564</v>
      </c>
      <c r="AB23" s="2">
        <v>11.339362960317684</v>
      </c>
      <c r="AC23" s="2">
        <v>9.1930698367540344</v>
      </c>
      <c r="AD23" s="2">
        <v>6.7716680348074272</v>
      </c>
      <c r="AE23" s="2">
        <v>4.1210001997308616</v>
      </c>
      <c r="AF23" s="7"/>
      <c r="AG23" s="7"/>
      <c r="AH23" s="7"/>
      <c r="AI23" s="7"/>
      <c r="AJ23" s="7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1">
        <v>20</v>
      </c>
    </row>
    <row r="24" spans="1:47" x14ac:dyDescent="0.25">
      <c r="A24" s="34" t="s">
        <v>23</v>
      </c>
      <c r="B24" s="22" t="s">
        <v>19</v>
      </c>
      <c r="C24" s="23">
        <f>C17/(C11^2)</f>
        <v>4020000</v>
      </c>
      <c r="E24" s="3">
        <f t="shared" si="0"/>
        <v>0.18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2">
        <v>10.152548912234153</v>
      </c>
      <c r="V24" s="2">
        <v>11.90235261822909</v>
      </c>
      <c r="W24" s="2">
        <v>12.933091599914686</v>
      </c>
      <c r="X24" s="2">
        <v>13.334056719217386</v>
      </c>
      <c r="Y24" s="2">
        <v>13.185270654161606</v>
      </c>
      <c r="Z24" s="2">
        <v>12.556705661480594</v>
      </c>
      <c r="AA24" s="2">
        <v>11.509739701547259</v>
      </c>
      <c r="AB24" s="2">
        <v>10.098442678015559</v>
      </c>
      <c r="AC24" s="2">
        <v>8.3707153613744545</v>
      </c>
      <c r="AD24" s="2">
        <v>6.3693040062875754</v>
      </c>
      <c r="AE24" s="2">
        <v>4.1327140416355199</v>
      </c>
      <c r="AF24" s="7"/>
      <c r="AG24" s="7"/>
      <c r="AH24" s="7"/>
      <c r="AI24" s="7"/>
      <c r="AJ24" s="7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1">
        <v>19</v>
      </c>
    </row>
    <row r="25" spans="1:47" x14ac:dyDescent="0.25">
      <c r="A25" s="34"/>
      <c r="B25" s="22" t="s">
        <v>20</v>
      </c>
      <c r="C25" s="23">
        <f>2*C24+(C16*C15)/C13</f>
        <v>8383420</v>
      </c>
      <c r="E25" s="3">
        <f t="shared" si="0"/>
        <v>0.17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2">
        <v>7.6331235783869316</v>
      </c>
      <c r="V25" s="2">
        <v>9.4250011032897714</v>
      </c>
      <c r="W25" s="2">
        <v>10.58939382792609</v>
      </c>
      <c r="X25" s="2">
        <v>11.195744931882841</v>
      </c>
      <c r="Y25" s="2">
        <v>11.307541392370959</v>
      </c>
      <c r="Z25" s="2">
        <v>10.981223179531888</v>
      </c>
      <c r="AA25" s="2">
        <v>10.266862554867142</v>
      </c>
      <c r="AB25" s="2">
        <v>9.2087824053869038</v>
      </c>
      <c r="AC25" s="2">
        <v>7.8461044842623648</v>
      </c>
      <c r="AD25" s="2">
        <v>6.2132225213541004</v>
      </c>
      <c r="AE25" s="2">
        <v>4.3401979577741905</v>
      </c>
      <c r="AF25" s="7"/>
      <c r="AG25" s="7"/>
      <c r="AH25" s="7"/>
      <c r="AI25" s="7"/>
      <c r="AJ25" s="7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1">
        <v>18</v>
      </c>
    </row>
    <row r="26" spans="1:47" x14ac:dyDescent="0.25">
      <c r="A26" s="34"/>
      <c r="B26" s="22" t="s">
        <v>21</v>
      </c>
      <c r="C26" s="23">
        <f>C24</f>
        <v>4020000</v>
      </c>
      <c r="E26" s="3">
        <f t="shared" si="0"/>
        <v>0.16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2">
        <v>5.7390676759387436</v>
      </c>
      <c r="V26" s="2">
        <v>7.533287699928473</v>
      </c>
      <c r="W26" s="2">
        <v>8.7880279746026062</v>
      </c>
      <c r="X26" s="2">
        <v>9.5551168240652284</v>
      </c>
      <c r="Y26" s="2">
        <v>9.8831148778047115</v>
      </c>
      <c r="Z26" s="2">
        <v>9.8159599971761899</v>
      </c>
      <c r="AA26" s="2">
        <v>9.3930157842275079</v>
      </c>
      <c r="AB26" s="2">
        <v>8.6491258371187669</v>
      </c>
      <c r="AC26" s="2">
        <v>7.6146410143117729</v>
      </c>
      <c r="AD26" s="2">
        <v>6.3153921490045057</v>
      </c>
      <c r="AE26" s="2">
        <v>4.7725836633521821</v>
      </c>
      <c r="AF26" s="7"/>
      <c r="AG26" s="7"/>
      <c r="AH26" s="7"/>
      <c r="AI26" s="7"/>
      <c r="AJ26" s="7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1">
        <v>17</v>
      </c>
    </row>
    <row r="27" spans="1:47" x14ac:dyDescent="0.25">
      <c r="E27" s="3">
        <f t="shared" si="0"/>
        <v>0.15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2">
        <v>4.3152042775690536</v>
      </c>
      <c r="V27" s="2">
        <v>6.0998060010651631</v>
      </c>
      <c r="W27" s="2">
        <v>7.4259921795420594</v>
      </c>
      <c r="X27" s="2">
        <v>8.3307891372711538</v>
      </c>
      <c r="Y27" s="2">
        <v>8.8500122140675437</v>
      </c>
      <c r="Z27" s="2">
        <v>9.0167169850399542</v>
      </c>
      <c r="AA27" s="2">
        <v>8.8607595017925895</v>
      </c>
      <c r="AB27" s="2">
        <v>8.4083937122132397</v>
      </c>
      <c r="AC27" s="2">
        <v>7.6818560772417106</v>
      </c>
      <c r="AD27" s="2">
        <v>6.698891641413157</v>
      </c>
      <c r="AE27" s="2">
        <v>5.4721771967443393</v>
      </c>
      <c r="AF27" s="7"/>
      <c r="AG27" s="7"/>
      <c r="AH27" s="7"/>
      <c r="AI27" s="7"/>
      <c r="AJ27" s="7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1">
        <v>16</v>
      </c>
    </row>
    <row r="28" spans="1:47" x14ac:dyDescent="0.25">
      <c r="A28" s="43" t="s">
        <v>24</v>
      </c>
      <c r="B28" s="44" t="s">
        <v>25</v>
      </c>
      <c r="C28" s="45">
        <v>350</v>
      </c>
      <c r="E28" s="3">
        <f t="shared" si="0"/>
        <v>0.14000000000000001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2">
        <v>3.2448785650132104</v>
      </c>
      <c r="V28" s="2">
        <v>5.0270366477250032</v>
      </c>
      <c r="W28" s="2">
        <v>6.4234968143978115</v>
      </c>
      <c r="X28" s="2">
        <v>7.4595463548991248</v>
      </c>
      <c r="Y28" s="2">
        <v>8.1607634654986452</v>
      </c>
      <c r="Z28" s="2">
        <v>8.551356718460255</v>
      </c>
      <c r="AA28" s="2">
        <v>8.6533733378733366</v>
      </c>
      <c r="AB28" s="2">
        <v>8.485950510508907</v>
      </c>
      <c r="AC28" s="2">
        <v>8.0645476956357776</v>
      </c>
      <c r="AD28" s="2">
        <v>7.4000998157596092</v>
      </c>
      <c r="AE28" s="2">
        <v>6.4980296697706486</v>
      </c>
      <c r="AF28" s="7"/>
      <c r="AG28" s="7"/>
      <c r="AH28" s="7"/>
      <c r="AI28" s="7"/>
      <c r="AJ28" s="7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1">
        <v>15</v>
      </c>
    </row>
    <row r="29" spans="1:47" x14ac:dyDescent="0.25">
      <c r="A29" s="43"/>
      <c r="B29" s="44" t="s">
        <v>26</v>
      </c>
      <c r="C29" s="45">
        <v>100</v>
      </c>
      <c r="E29" s="3">
        <f t="shared" si="0"/>
        <v>0.13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2">
        <v>2.4404004890536095</v>
      </c>
      <c r="V29" s="2">
        <v>4.2405140515411972</v>
      </c>
      <c r="W29" s="2">
        <v>5.7191514272228954</v>
      </c>
      <c r="X29" s="2">
        <v>6.8930379773279196</v>
      </c>
      <c r="Y29" s="2">
        <v>7.7802623386664953</v>
      </c>
      <c r="Z29" s="2">
        <v>8.3985970077340291</v>
      </c>
      <c r="AA29" s="2">
        <v>8.7644929762123365</v>
      </c>
      <c r="AB29" s="2">
        <v>8.8921099912484962</v>
      </c>
      <c r="AC29" s="2">
        <v>8.7923137338471626</v>
      </c>
      <c r="AD29" s="2">
        <v>8.4715702968068083</v>
      </c>
      <c r="AE29" s="2">
        <v>7.9306634912912592</v>
      </c>
      <c r="AF29" s="7"/>
      <c r="AG29" s="7"/>
      <c r="AH29" s="7"/>
      <c r="AI29" s="7"/>
      <c r="AJ29" s="7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1">
        <v>14</v>
      </c>
    </row>
    <row r="30" spans="1:47" x14ac:dyDescent="0.25">
      <c r="E30" s="3">
        <f t="shared" si="0"/>
        <v>0.12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2">
        <v>1.8358604660487197</v>
      </c>
      <c r="V30" s="2">
        <v>3.6835569596163857</v>
      </c>
      <c r="W30" s="2">
        <v>5.2661472626261192</v>
      </c>
      <c r="X30" s="2">
        <v>6.5950838725291829</v>
      </c>
      <c r="Y30" s="2">
        <v>7.6839816142761066</v>
      </c>
      <c r="Z30" s="2">
        <v>8.5470334988917003</v>
      </c>
      <c r="AA30" s="2">
        <v>9.197949864905878</v>
      </c>
      <c r="AB30" s="2">
        <v>9.6489286912922942</v>
      </c>
      <c r="AC30" s="2">
        <v>9.9095895978927597</v>
      </c>
      <c r="AD30" s="2">
        <v>9.9858011564760218</v>
      </c>
      <c r="AE30" s="2">
        <v>9.8783242305959718</v>
      </c>
      <c r="AF30" s="7"/>
      <c r="AG30" s="7"/>
      <c r="AH30" s="7"/>
      <c r="AI30" s="7"/>
      <c r="AJ30" s="7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1">
        <v>13</v>
      </c>
    </row>
    <row r="31" spans="1:47" x14ac:dyDescent="0.25">
      <c r="E31" s="3">
        <f t="shared" si="0"/>
        <v>0.11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2">
        <v>1.3817295126718461</v>
      </c>
      <c r="V31" s="2">
        <v>3.3131852723603217</v>
      </c>
      <c r="W31" s="2">
        <v>5.0291969749800991</v>
      </c>
      <c r="X31" s="2">
        <v>6.5394400451064287</v>
      </c>
      <c r="Y31" s="2">
        <v>7.8564616093173427</v>
      </c>
      <c r="Z31" s="2">
        <v>8.9943472764150396</v>
      </c>
      <c r="AA31" s="2">
        <v>9.9678107705522674</v>
      </c>
      <c r="AB31" s="2">
        <v>10.791336178090788</v>
      </c>
      <c r="AC31" s="2">
        <v>11.478320590916397</v>
      </c>
      <c r="AD31" s="2">
        <v>12.040163220007708</v>
      </c>
      <c r="AE31" s="2">
        <v>12.485242387626705</v>
      </c>
      <c r="AF31" s="7"/>
      <c r="AG31" s="7"/>
      <c r="AH31" s="7"/>
      <c r="AI31" s="7"/>
      <c r="AJ31" s="7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1">
        <v>12</v>
      </c>
    </row>
    <row r="32" spans="1:47" x14ac:dyDescent="0.25">
      <c r="E32" s="3">
        <f t="shared" si="0"/>
        <v>0.1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2">
        <v>1.0408014166590946</v>
      </c>
      <c r="V32" s="2">
        <v>3.0969286788839714</v>
      </c>
      <c r="W32" s="2">
        <v>4.9820348153968697</v>
      </c>
      <c r="X32" s="2">
        <v>6.7078921997231822</v>
      </c>
      <c r="Y32" s="2">
        <v>8.2899829808202092</v>
      </c>
      <c r="Z32" s="2">
        <v>9.7466448347021899</v>
      </c>
      <c r="AA32" s="2">
        <v>11.098605738715349</v>
      </c>
      <c r="AB32" s="2">
        <v>12.368652943997104</v>
      </c>
      <c r="AC32" s="2">
        <v>13.581425043874535</v>
      </c>
      <c r="AD32" s="2">
        <v>14.763322710927607</v>
      </c>
      <c r="AE32" s="2">
        <v>15.942541020239371</v>
      </c>
      <c r="AF32" s="2">
        <v>26.239046884766687</v>
      </c>
      <c r="AG32" s="2">
        <v>30.049344414807251</v>
      </c>
      <c r="AH32" s="2">
        <v>33.978435037261569</v>
      </c>
      <c r="AI32" s="2">
        <v>38.03381454284979</v>
      </c>
      <c r="AJ32" s="2">
        <v>42.223053991358874</v>
      </c>
      <c r="AK32" s="2">
        <v>46.553972049138707</v>
      </c>
      <c r="AL32" s="2">
        <v>51.034814113686068</v>
      </c>
      <c r="AM32" s="2">
        <v>55.674447468041009</v>
      </c>
      <c r="AN32" s="2">
        <v>60.482582606410269</v>
      </c>
      <c r="AO32" s="2">
        <v>65.47003233473842</v>
      </c>
      <c r="AP32" s="2">
        <v>70.649022360208008</v>
      </c>
      <c r="AQ32" s="2">
        <v>76.033569964090674</v>
      </c>
      <c r="AR32" s="2">
        <v>81.639951170456072</v>
      </c>
      <c r="AS32" s="2">
        <v>87.487281801803036</v>
      </c>
      <c r="AT32" s="2">
        <f>$C$29</f>
        <v>100</v>
      </c>
      <c r="AU32" s="9">
        <v>11</v>
      </c>
    </row>
    <row r="33" spans="2:175" x14ac:dyDescent="0.25">
      <c r="E33" s="3">
        <f t="shared" si="0"/>
        <v>0.09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2">
        <v>0.78514449219901927</v>
      </c>
      <c r="V33" s="2">
        <v>2.9541721471458393</v>
      </c>
      <c r="W33" s="2">
        <v>4.9882705918692762</v>
      </c>
      <c r="X33" s="2">
        <v>6.9005975559379404</v>
      </c>
      <c r="Y33" s="2">
        <v>8.7084030452375245</v>
      </c>
      <c r="Z33" s="2">
        <v>10.432481379940754</v>
      </c>
      <c r="AA33" s="2">
        <v>12.09695798754216</v>
      </c>
      <c r="AB33" s="2">
        <v>13.729233274057371</v>
      </c>
      <c r="AC33" s="2">
        <v>15.360091124701675</v>
      </c>
      <c r="AD33" s="2">
        <v>17.023988280626142</v>
      </c>
      <c r="AE33" s="2">
        <v>18.759551424465339</v>
      </c>
      <c r="AF33" s="2">
        <v>27.424534988473567</v>
      </c>
      <c r="AG33" s="2">
        <v>31.258972271764783</v>
      </c>
      <c r="AH33" s="2">
        <v>35.215499888174918</v>
      </c>
      <c r="AI33" s="2">
        <v>39.301000607501805</v>
      </c>
      <c r="AJ33" s="2">
        <v>43.522508900584697</v>
      </c>
      <c r="AK33" s="2">
        <v>47.887347336046993</v>
      </c>
      <c r="AL33" s="2">
        <v>52.403271768387484</v>
      </c>
      <c r="AM33" s="2">
        <v>57.07863229255917</v>
      </c>
      <c r="AN33" s="2">
        <v>61.922557791489353</v>
      </c>
      <c r="AO33" s="2">
        <v>66.945173154685065</v>
      </c>
      <c r="AP33" s="2">
        <v>72.157859965819654</v>
      </c>
      <c r="AQ33" s="2">
        <v>77.573573737414719</v>
      </c>
      <c r="AR33" s="2">
        <v>83.207233733604426</v>
      </c>
      <c r="AS33" s="2">
        <v>89.076205226155096</v>
      </c>
      <c r="AT33" s="2">
        <f t="shared" ref="AT33:AT42" si="2">$C$29</f>
        <v>100</v>
      </c>
      <c r="AU33" s="1">
        <v>10</v>
      </c>
    </row>
    <row r="34" spans="2:175" x14ac:dyDescent="0.25">
      <c r="E34" s="3">
        <f t="shared" si="0"/>
        <v>0.08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2">
        <v>0.59381318222825419</v>
      </c>
      <c r="V34" s="2">
        <v>2.8638578766562466</v>
      </c>
      <c r="W34" s="2">
        <v>5.0280185927631464</v>
      </c>
      <c r="X34" s="2">
        <v>7.1003453003004102</v>
      </c>
      <c r="Y34" s="2">
        <v>9.0990682316960871</v>
      </c>
      <c r="Z34" s="2">
        <v>11.046242109566816</v>
      </c>
      <c r="AA34" s="2">
        <v>12.967664552326859</v>
      </c>
      <c r="AB34" s="2">
        <v>14.892942663959065</v>
      </c>
      <c r="AC34" s="2">
        <v>16.855721657488591</v>
      </c>
      <c r="AD34" s="2">
        <v>18.894097050201644</v>
      </c>
      <c r="AE34" s="2">
        <v>21.051241616602738</v>
      </c>
      <c r="AF34" s="2">
        <v>28.497028048588771</v>
      </c>
      <c r="AG34" s="2">
        <v>32.34561409402702</v>
      </c>
      <c r="AH34" s="2">
        <v>36.319511195419864</v>
      </c>
      <c r="AI34" s="2">
        <v>40.424717036188191</v>
      </c>
      <c r="AJ34" s="2">
        <v>44.667440613536712</v>
      </c>
      <c r="AK34" s="2">
        <v>49.05418966772443</v>
      </c>
      <c r="AL34" s="2">
        <v>53.591867108294679</v>
      </c>
      <c r="AM34" s="2">
        <v>58.28788047418989</v>
      </c>
      <c r="AN34" s="2">
        <v>63.150269130396516</v>
      </c>
      <c r="AO34" s="2">
        <v>68.187854771725995</v>
      </c>
      <c r="AP34" s="2">
        <v>73.410421916565269</v>
      </c>
      <c r="AQ34" s="2">
        <v>78.828936481864417</v>
      </c>
      <c r="AR34" s="2">
        <v>84.455812299420955</v>
      </c>
      <c r="AS34" s="2">
        <v>90.305237641761778</v>
      </c>
      <c r="AT34" s="2">
        <f t="shared" si="2"/>
        <v>100</v>
      </c>
      <c r="AU34" s="1">
        <v>9</v>
      </c>
    </row>
    <row r="35" spans="2:175" x14ac:dyDescent="0.25">
      <c r="E35" s="3">
        <f t="shared" si="0"/>
        <v>7.0000000000000007E-2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">
        <v>0.45113202292173521</v>
      </c>
      <c r="V35" s="2">
        <v>2.8101103842109962</v>
      </c>
      <c r="W35" s="2">
        <v>5.0863283789523397</v>
      </c>
      <c r="X35" s="2">
        <v>7.2943903479263819</v>
      </c>
      <c r="Y35" s="2">
        <v>9.4529912570689696</v>
      </c>
      <c r="Z35" s="2">
        <v>11.584678684175532</v>
      </c>
      <c r="AA35" s="2">
        <v>13.715830296729276</v>
      </c>
      <c r="AB35" s="2">
        <v>15.876755549523583</v>
      </c>
      <c r="AC35" s="2">
        <v>18.101935448585852</v>
      </c>
      <c r="AD35" s="2">
        <v>20.430419740729178</v>
      </c>
      <c r="AE35" s="2">
        <v>22.906407958095372</v>
      </c>
      <c r="AF35" s="2">
        <v>29.44476554832579</v>
      </c>
      <c r="AG35" s="2">
        <v>33.301309912025083</v>
      </c>
      <c r="AH35" s="2">
        <v>37.285904672935416</v>
      </c>
      <c r="AI35" s="2">
        <v>41.403604837588091</v>
      </c>
      <c r="AJ35" s="2">
        <v>45.659708347892334</v>
      </c>
      <c r="AK35" s="2">
        <v>50.059794700770816</v>
      </c>
      <c r="AL35" s="2">
        <v>54.609771161216663</v>
      </c>
      <c r="AM35" s="2">
        <v>59.315927888366474</v>
      </c>
      <c r="AN35" s="2">
        <v>64.185003712584518</v>
      </c>
      <c r="AO35" s="2">
        <v>69.224264754931596</v>
      </c>
      <c r="AP35" s="2">
        <v>74.44159858607172</v>
      </c>
      <c r="AQ35" s="2">
        <v>79.845627195644056</v>
      </c>
      <c r="AR35" s="2">
        <v>85.445842700180691</v>
      </c>
      <c r="AS35" s="2">
        <v>91.252770471098458</v>
      </c>
      <c r="AT35" s="2">
        <f t="shared" si="2"/>
        <v>100</v>
      </c>
      <c r="AU35" s="1">
        <v>8</v>
      </c>
    </row>
    <row r="36" spans="2:175" x14ac:dyDescent="0.25">
      <c r="E36" s="3">
        <f t="shared" si="0"/>
        <v>0.06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">
        <v>0.34541137837214902</v>
      </c>
      <c r="V36" s="2">
        <v>2.7810238012222315</v>
      </c>
      <c r="W36" s="2">
        <v>5.1520361569706221</v>
      </c>
      <c r="X36" s="2">
        <v>7.4733800408945772</v>
      </c>
      <c r="Y36" s="2">
        <v>9.763894082027587</v>
      </c>
      <c r="Z36" s="2">
        <v>12.046155927731135</v>
      </c>
      <c r="AA36" s="2">
        <v>14.346477334936251</v>
      </c>
      <c r="AB36" s="2">
        <v>16.694994480479131</v>
      </c>
      <c r="AC36" s="2">
        <v>19.125864544901791</v>
      </c>
      <c r="AD36" s="2">
        <v>21.677582763663757</v>
      </c>
      <c r="AE36" s="2">
        <v>24.393438312157365</v>
      </c>
      <c r="AF36" s="2">
        <v>30.260981195825728</v>
      </c>
      <c r="AG36" s="2">
        <v>34.121760815777982</v>
      </c>
      <c r="AH36" s="2">
        <v>38.112715561998755</v>
      </c>
      <c r="AI36" s="2">
        <v>42.238019044295633</v>
      </c>
      <c r="AJ36" s="2">
        <v>46.502092912925988</v>
      </c>
      <c r="AK36" s="2">
        <v>50.909602937574164</v>
      </c>
      <c r="AL36" s="2">
        <v>55.465460195197181</v>
      </c>
      <c r="AM36" s="2">
        <v>60.174826524929685</v>
      </c>
      <c r="AN36" s="2">
        <v>65.043123570205438</v>
      </c>
      <c r="AO36" s="2">
        <v>70.076044807636066</v>
      </c>
      <c r="AP36" s="2">
        <v>75.279569956554582</v>
      </c>
      <c r="AQ36" s="2">
        <v>80.659981062031505</v>
      </c>
      <c r="AR36" s="2">
        <v>86.223879327900335</v>
      </c>
      <c r="AS36" s="2">
        <v>91.978201413932027</v>
      </c>
      <c r="AT36" s="2">
        <f t="shared" si="2"/>
        <v>100</v>
      </c>
      <c r="AU36" s="1">
        <v>7</v>
      </c>
    </row>
    <row r="37" spans="2:175" x14ac:dyDescent="0.25">
      <c r="E37" s="3">
        <f t="shared" si="0"/>
        <v>0.05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">
        <v>0.26798972768439083</v>
      </c>
      <c r="V37" s="2">
        <v>2.767740881143268</v>
      </c>
      <c r="W37" s="2">
        <v>5.2168836945268833</v>
      </c>
      <c r="X37" s="2">
        <v>7.6305290302345465</v>
      </c>
      <c r="Y37" s="2">
        <v>10.027476208089467</v>
      </c>
      <c r="Z37" s="2">
        <v>12.430085003646489</v>
      </c>
      <c r="AA37" s="2">
        <v>14.864266752401221</v>
      </c>
      <c r="AB37" s="2">
        <v>17.359542411308514</v>
      </c>
      <c r="AC37" s="2">
        <v>19.949175002040331</v>
      </c>
      <c r="AD37" s="2">
        <v>22.67038488650326</v>
      </c>
      <c r="AE37" s="2">
        <v>25.564657898606061</v>
      </c>
      <c r="AF37" s="2">
        <v>30.942199076560303</v>
      </c>
      <c r="AG37" s="2">
        <v>34.805060890656257</v>
      </c>
      <c r="AH37" s="2">
        <v>38.799626640727709</v>
      </c>
      <c r="AI37" s="2">
        <v>42.92931024281058</v>
      </c>
      <c r="AJ37" s="2">
        <v>47.197759436734984</v>
      </c>
      <c r="AK37" s="2">
        <v>51.608817735688525</v>
      </c>
      <c r="AL37" s="2">
        <v>56.166488504475545</v>
      </c>
      <c r="AM37" s="2">
        <v>60.87489876756031</v>
      </c>
      <c r="AN37" s="2">
        <v>65.738260276635373</v>
      </c>
      <c r="AO37" s="2">
        <v>70.760825142510015</v>
      </c>
      <c r="AP37" s="2">
        <v>75.946832941121059</v>
      </c>
      <c r="AQ37" s="2">
        <v>81.300445611060979</v>
      </c>
      <c r="AR37" s="2">
        <v>86.825665630018094</v>
      </c>
      <c r="AS37" s="2">
        <v>92.526231834238757</v>
      </c>
      <c r="AT37" s="2">
        <f t="shared" si="2"/>
        <v>100</v>
      </c>
      <c r="AU37" s="1">
        <v>6</v>
      </c>
    </row>
    <row r="38" spans="2:175" x14ac:dyDescent="0.25">
      <c r="E38" s="3">
        <f t="shared" si="0"/>
        <v>0.04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2">
        <v>0.21252404062039806</v>
      </c>
      <c r="V38" s="2">
        <v>2.7637588178385055</v>
      </c>
      <c r="W38" s="2">
        <v>5.2748481720786158</v>
      </c>
      <c r="X38" s="2">
        <v>7.7609905641220447</v>
      </c>
      <c r="Y38" s="2">
        <v>10.240860143121264</v>
      </c>
      <c r="Z38" s="2">
        <v>12.736500488771982</v>
      </c>
      <c r="AA38" s="2">
        <v>15.273302568928022</v>
      </c>
      <c r="AB38" s="2">
        <v>17.880025265626148</v>
      </c>
      <c r="AC38" s="2">
        <v>20.588862446633719</v>
      </c>
      <c r="AD38" s="2">
        <v>23.43555990634751</v>
      </c>
      <c r="AE38" s="2">
        <v>26.4595850079237</v>
      </c>
      <c r="AF38" s="2">
        <v>31.486996317724618</v>
      </c>
      <c r="AG38" s="2">
        <v>35.35076222243616</v>
      </c>
      <c r="AH38" s="2">
        <v>39.347257292068448</v>
      </c>
      <c r="AI38" s="2">
        <v>43.479283729738043</v>
      </c>
      <c r="AJ38" s="2">
        <v>47.749852942627086</v>
      </c>
      <c r="AK38" s="2">
        <v>52.16212186454068</v>
      </c>
      <c r="AL38" s="2">
        <v>56.719328446467827</v>
      </c>
      <c r="AM38" s="2">
        <v>61.424722882203952</v>
      </c>
      <c r="AN38" s="2">
        <v>66.281490871687069</v>
      </c>
      <c r="AO38" s="2">
        <v>71.292664770679764</v>
      </c>
      <c r="AP38" s="2">
        <v>76.461017806359877</v>
      </c>
      <c r="AQ38" s="2">
        <v>81.788935617485663</v>
      </c>
      <c r="AR38" s="2">
        <v>87.278258154905203</v>
      </c>
      <c r="AS38" s="2">
        <v>92.930083386959268</v>
      </c>
      <c r="AT38" s="2">
        <f t="shared" si="2"/>
        <v>100</v>
      </c>
      <c r="AU38" s="1">
        <v>5</v>
      </c>
    </row>
    <row r="39" spans="2:175" x14ac:dyDescent="0.25">
      <c r="E39" s="3">
        <f t="shared" si="0"/>
        <v>0.03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2">
        <v>0.17447010342217778</v>
      </c>
      <c r="V39" s="2">
        <v>2.7644128888967994</v>
      </c>
      <c r="W39" s="2">
        <v>5.3216396859294584</v>
      </c>
      <c r="X39" s="2">
        <v>7.8613843882467602</v>
      </c>
      <c r="Y39" s="2">
        <v>10.40217712920839</v>
      </c>
      <c r="Z39" s="2">
        <v>12.965749080566164</v>
      </c>
      <c r="AA39" s="2">
        <v>15.576995704044325</v>
      </c>
      <c r="AB39" s="2">
        <v>18.263963619230935</v>
      </c>
      <c r="AC39" s="2">
        <v>21.057862288566824</v>
      </c>
      <c r="AD39" s="2">
        <v>23.993099853526253</v>
      </c>
      <c r="AE39" s="2">
        <v>27.10734047559389</v>
      </c>
      <c r="AF39" s="2">
        <v>31.895115001606303</v>
      </c>
      <c r="AG39" s="2">
        <v>35.75919418698038</v>
      </c>
      <c r="AH39" s="2">
        <v>39.756639906449571</v>
      </c>
      <c r="AI39" s="2">
        <v>43.889798430767698</v>
      </c>
      <c r="AJ39" s="2">
        <v>48.161198660850566</v>
      </c>
      <c r="AK39" s="2">
        <v>52.573470524558395</v>
      </c>
      <c r="AL39" s="2">
        <v>57.12926000067246</v>
      </c>
      <c r="AM39" s="2">
        <v>61.831136703594559</v>
      </c>
      <c r="AN39" s="2">
        <v>66.681489552328486</v>
      </c>
      <c r="AO39" s="2">
        <v>71.682405433778797</v>
      </c>
      <c r="AP39" s="2">
        <v>76.835524922667673</v>
      </c>
      <c r="AQ39" s="2">
        <v>82.14186799724979</v>
      </c>
      <c r="AR39" s="2">
        <v>87.601621237829079</v>
      </c>
      <c r="AS39" s="2">
        <v>93.213876145208019</v>
      </c>
      <c r="AT39" s="2">
        <f t="shared" si="2"/>
        <v>100</v>
      </c>
      <c r="AU39" s="1">
        <v>4</v>
      </c>
    </row>
    <row r="40" spans="2:175" x14ac:dyDescent="0.25">
      <c r="E40" s="3">
        <f t="shared" si="0"/>
        <v>0.02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2">
        <v>0.15071021875078883</v>
      </c>
      <c r="V40" s="2">
        <v>2.766501434137508</v>
      </c>
      <c r="W40" s="2">
        <v>5.3543337827757567</v>
      </c>
      <c r="X40" s="2">
        <v>7.9294511340519032</v>
      </c>
      <c r="Y40" s="2">
        <v>10.510265274216819</v>
      </c>
      <c r="Z40" s="2">
        <v>13.118265821714308</v>
      </c>
      <c r="AA40" s="2">
        <v>15.777971686347932</v>
      </c>
      <c r="AB40" s="2">
        <v>18.516893319194573</v>
      </c>
      <c r="AC40" s="2">
        <v>21.365505052586663</v>
      </c>
      <c r="AD40" s="2">
        <v>24.35722418803158</v>
      </c>
      <c r="AE40" s="2">
        <v>27.528390562041402</v>
      </c>
      <c r="AF40" s="2">
        <v>32.166838001206891</v>
      </c>
      <c r="AG40" s="2">
        <v>36.030978855782656</v>
      </c>
      <c r="AH40" s="2">
        <v>40.028843345178949</v>
      </c>
      <c r="AI40" s="2">
        <v>44.16247680731513</v>
      </c>
      <c r="AJ40" s="2">
        <v>48.434085536617083</v>
      </c>
      <c r="AK40" s="2">
        <v>52.845943943732188</v>
      </c>
      <c r="AL40" s="2">
        <v>57.400296503517353</v>
      </c>
      <c r="AM40" s="2">
        <v>62.099250075271897</v>
      </c>
      <c r="AN40" s="2">
        <v>66.944651672851919</v>
      </c>
      <c r="AO40" s="2">
        <v>71.937946049544109</v>
      </c>
      <c r="AP40" s="2">
        <v>77.080006510050694</v>
      </c>
      <c r="AQ40" s="2">
        <v>82.370931126860114</v>
      </c>
      <c r="AR40" s="2">
        <v>87.80979496661368</v>
      </c>
      <c r="AS40" s="2">
        <v>93.394346956380218</v>
      </c>
      <c r="AT40" s="2">
        <f t="shared" si="2"/>
        <v>100</v>
      </c>
      <c r="AU40" s="1">
        <v>3</v>
      </c>
    </row>
    <row r="41" spans="2:175" x14ac:dyDescent="0.25">
      <c r="E41" s="3">
        <f>$C$11*AU42</f>
        <v>0.01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2">
        <v>0.13929777780126901</v>
      </c>
      <c r="V41" s="2">
        <v>2.768025631168002</v>
      </c>
      <c r="W41" s="2">
        <v>5.3711150622456501</v>
      </c>
      <c r="X41" s="2">
        <v>7.9638109803449249</v>
      </c>
      <c r="Y41" s="2">
        <v>10.564459593748982</v>
      </c>
      <c r="Z41" s="2">
        <v>13.194420253825303</v>
      </c>
      <c r="AA41" s="2">
        <v>15.878010481984186</v>
      </c>
      <c r="AB41" s="2">
        <v>18.642455340550807</v>
      </c>
      <c r="AC41" s="2">
        <v>21.517839488382922</v>
      </c>
      <c r="AD41" s="2">
        <v>24.537057245675861</v>
      </c>
      <c r="AE41" s="2">
        <v>27.735752607161636</v>
      </c>
      <c r="AF41" s="2">
        <v>32.302567965223716</v>
      </c>
      <c r="AG41" s="2">
        <v>36.166700545600392</v>
      </c>
      <c r="AH41" s="2">
        <v>40.16471401635566</v>
      </c>
      <c r="AI41" s="2">
        <v>44.29850446395703</v>
      </c>
      <c r="AJ41" s="2">
        <v>48.570116893364045</v>
      </c>
      <c r="AK41" s="2">
        <v>52.981647000496999</v>
      </c>
      <c r="AL41" s="2">
        <v>57.535136771720921</v>
      </c>
      <c r="AM41" s="2">
        <v>62.232459342222327</v>
      </c>
      <c r="AN41" s="2">
        <v>67.075187991046363</v>
      </c>
      <c r="AO41" s="2">
        <v>72.064443390544255</v>
      </c>
      <c r="AP41" s="2">
        <v>77.20071222761635</v>
      </c>
      <c r="AQ41" s="2">
        <v>82.48362903024389</v>
      </c>
      <c r="AR41" s="2">
        <v>87.911711411755746</v>
      </c>
      <c r="AS41" s="2">
        <v>93.48203692105335</v>
      </c>
      <c r="AT41" s="2">
        <f t="shared" si="2"/>
        <v>100</v>
      </c>
      <c r="AU41" s="1">
        <v>2</v>
      </c>
    </row>
    <row r="42" spans="2:175" x14ac:dyDescent="0.25">
      <c r="E42" s="3">
        <v>0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2">
        <v>0.13929777780126901</v>
      </c>
      <c r="V42" s="2">
        <v>2.768025631168002</v>
      </c>
      <c r="W42" s="2">
        <v>5.3711150622456501</v>
      </c>
      <c r="X42" s="2">
        <v>7.9638109803449249</v>
      </c>
      <c r="Y42" s="2">
        <v>10.564459593748982</v>
      </c>
      <c r="Z42" s="2">
        <v>13.194420253825303</v>
      </c>
      <c r="AA42" s="2">
        <v>15.878010481984186</v>
      </c>
      <c r="AB42" s="2">
        <v>18.642455340550807</v>
      </c>
      <c r="AC42" s="2">
        <v>21.517839488382922</v>
      </c>
      <c r="AD42" s="2">
        <v>24.537057245675861</v>
      </c>
      <c r="AE42" s="2">
        <v>27.735752607161636</v>
      </c>
      <c r="AF42" s="2">
        <v>32.302567965223716</v>
      </c>
      <c r="AG42" s="2">
        <v>36.166700545600392</v>
      </c>
      <c r="AH42" s="2">
        <v>40.16471401635566</v>
      </c>
      <c r="AI42" s="2">
        <v>44.29850446395703</v>
      </c>
      <c r="AJ42" s="2">
        <v>48.570116893364045</v>
      </c>
      <c r="AK42" s="2">
        <v>52.981647000496999</v>
      </c>
      <c r="AL42" s="2">
        <v>57.535136771720921</v>
      </c>
      <c r="AM42" s="2">
        <v>62.232459342222327</v>
      </c>
      <c r="AN42" s="2">
        <v>67.075187991046363</v>
      </c>
      <c r="AO42" s="2">
        <v>72.064443390544255</v>
      </c>
      <c r="AP42" s="2">
        <v>77.20071222761635</v>
      </c>
      <c r="AQ42" s="2">
        <v>82.48362903024389</v>
      </c>
      <c r="AR42" s="2">
        <v>87.911711411755746</v>
      </c>
      <c r="AS42" s="2">
        <v>93.48203692105335</v>
      </c>
      <c r="AT42" s="2">
        <f t="shared" si="2"/>
        <v>100</v>
      </c>
      <c r="AU42" s="1">
        <v>1</v>
      </c>
    </row>
    <row r="43" spans="2:175" x14ac:dyDescent="0.25">
      <c r="E43" s="11"/>
      <c r="F43" s="3">
        <v>0</v>
      </c>
      <c r="G43" s="3">
        <f>$C$10*F1</f>
        <v>0.01</v>
      </c>
      <c r="H43" s="3">
        <f t="shared" ref="H43:AT43" si="3">$C$10*G1</f>
        <v>0.02</v>
      </c>
      <c r="I43" s="3">
        <f t="shared" si="3"/>
        <v>0.03</v>
      </c>
      <c r="J43" s="3">
        <f t="shared" si="3"/>
        <v>0.04</v>
      </c>
      <c r="K43" s="3">
        <f t="shared" si="3"/>
        <v>0.05</v>
      </c>
      <c r="L43" s="3">
        <f t="shared" si="3"/>
        <v>0.06</v>
      </c>
      <c r="M43" s="3">
        <f t="shared" si="3"/>
        <v>7.0000000000000007E-2</v>
      </c>
      <c r="N43" s="3">
        <f t="shared" si="3"/>
        <v>0.08</v>
      </c>
      <c r="O43" s="3">
        <f t="shared" si="3"/>
        <v>0.09</v>
      </c>
      <c r="P43" s="3">
        <f t="shared" si="3"/>
        <v>0.1</v>
      </c>
      <c r="Q43" s="3">
        <f t="shared" si="3"/>
        <v>0.11</v>
      </c>
      <c r="R43" s="3">
        <f t="shared" si="3"/>
        <v>0.12</v>
      </c>
      <c r="S43" s="3">
        <f t="shared" si="3"/>
        <v>0.13</v>
      </c>
      <c r="T43" s="3">
        <f t="shared" si="3"/>
        <v>0.14000000000000001</v>
      </c>
      <c r="U43" s="10">
        <f t="shared" si="3"/>
        <v>0.15</v>
      </c>
      <c r="V43" s="3">
        <f t="shared" si="3"/>
        <v>0.16</v>
      </c>
      <c r="W43" s="3">
        <f t="shared" si="3"/>
        <v>0.17</v>
      </c>
      <c r="X43" s="3">
        <f t="shared" si="3"/>
        <v>0.18</v>
      </c>
      <c r="Y43" s="3">
        <f t="shared" si="3"/>
        <v>0.19</v>
      </c>
      <c r="Z43" s="3">
        <f t="shared" si="3"/>
        <v>0.2</v>
      </c>
      <c r="AA43" s="3">
        <f t="shared" si="3"/>
        <v>0.21</v>
      </c>
      <c r="AB43" s="3">
        <f t="shared" si="3"/>
        <v>0.22</v>
      </c>
      <c r="AC43" s="3">
        <f t="shared" si="3"/>
        <v>0.23</v>
      </c>
      <c r="AD43" s="3">
        <f t="shared" si="3"/>
        <v>0.24</v>
      </c>
      <c r="AE43" s="25">
        <f t="shared" si="3"/>
        <v>0.25</v>
      </c>
      <c r="AF43" s="25">
        <f t="shared" si="3"/>
        <v>0.26</v>
      </c>
      <c r="AG43" s="25">
        <f t="shared" si="3"/>
        <v>0.27</v>
      </c>
      <c r="AH43" s="25">
        <f t="shared" si="3"/>
        <v>0.28000000000000003</v>
      </c>
      <c r="AI43" s="25">
        <f t="shared" si="3"/>
        <v>0.28999999999999998</v>
      </c>
      <c r="AJ43" s="25">
        <f t="shared" si="3"/>
        <v>0.3</v>
      </c>
      <c r="AK43" s="25">
        <f t="shared" si="3"/>
        <v>0.31</v>
      </c>
      <c r="AL43" s="25">
        <f t="shared" si="3"/>
        <v>0.32</v>
      </c>
      <c r="AM43" s="25">
        <f t="shared" si="3"/>
        <v>0.33</v>
      </c>
      <c r="AN43" s="25">
        <f t="shared" si="3"/>
        <v>0.34</v>
      </c>
      <c r="AO43" s="25">
        <f t="shared" si="3"/>
        <v>0.35000000000000003</v>
      </c>
      <c r="AP43" s="25">
        <f t="shared" si="3"/>
        <v>0.36</v>
      </c>
      <c r="AQ43" s="25">
        <f t="shared" si="3"/>
        <v>0.37</v>
      </c>
      <c r="AR43" s="25">
        <f t="shared" si="3"/>
        <v>0.38</v>
      </c>
      <c r="AS43" s="25">
        <f t="shared" si="3"/>
        <v>0.39</v>
      </c>
      <c r="AT43" s="25">
        <f t="shared" si="3"/>
        <v>0.4</v>
      </c>
      <c r="AU43" s="1"/>
    </row>
    <row r="44" spans="2:175" x14ac:dyDescent="0.25">
      <c r="E44" s="46" t="s">
        <v>27</v>
      </c>
      <c r="F44" s="26">
        <v>350</v>
      </c>
      <c r="G44" s="14">
        <f t="shared" ref="G44:G59" si="4">CO44*H44+EF44</f>
        <v>341.80296339565768</v>
      </c>
      <c r="H44" s="14">
        <f t="shared" ref="H44:H59" si="5">CP44*I44+EG44</f>
        <v>332.90567149015533</v>
      </c>
      <c r="I44" s="14">
        <f t="shared" ref="I44:I59" si="6">CQ44*J44+EH44</f>
        <v>323.39134599976376</v>
      </c>
      <c r="J44" s="14">
        <f t="shared" ref="J44:J59" si="7">CR44*K44+EI44</f>
        <v>313.32700147253388</v>
      </c>
      <c r="K44" s="14">
        <f t="shared" ref="K44:K59" si="8">CS44*L44+EJ44</f>
        <v>302.76677581039081</v>
      </c>
      <c r="L44" s="14">
        <f t="shared" ref="L44:L59" si="9">CT44*M44+EK44</f>
        <v>291.75457651762355</v>
      </c>
      <c r="M44" s="14">
        <f t="shared" ref="M44:M59" si="10">CU44*N44+EL44</f>
        <v>280.32618738274465</v>
      </c>
      <c r="N44" s="14">
        <f t="shared" ref="N44:N59" si="11">CV44*O44+EM44</f>
        <v>268.51094688196156</v>
      </c>
      <c r="O44" s="14">
        <f t="shared" ref="O44:O59" si="12">CW44*P44+EN44</f>
        <v>256.33308308465058</v>
      </c>
      <c r="P44" s="14">
        <f t="shared" ref="P44:P59" si="13">CX44*Q44+EO44</f>
        <v>243.81276847090152</v>
      </c>
      <c r="Q44" s="14">
        <f t="shared" ref="Q44:Q59" si="14">CY44*R44+EP44</f>
        <v>230.96694041322041</v>
      </c>
      <c r="R44" s="14">
        <f t="shared" ref="R44:R59" si="15">CZ44*S44+EQ44</f>
        <v>217.80991795308051</v>
      </c>
      <c r="S44" s="51">
        <f t="shared" ref="S44:S59" si="16">DA44*T44+ER44</f>
        <v>204.35383191112345</v>
      </c>
      <c r="T44" s="51">
        <f t="shared" ref="T44:T59" si="17">DB44*U44+ES44</f>
        <v>190.6088724005769</v>
      </c>
      <c r="U44" s="51">
        <f t="shared" ref="U44:AE59" si="18">DC44*V44+ET44</f>
        <v>176.58334459936856</v>
      </c>
      <c r="V44" s="51">
        <f t="shared" si="18"/>
        <v>162.2835092918117</v>
      </c>
      <c r="W44" s="51">
        <f t="shared" si="18"/>
        <v>147.82542884975871</v>
      </c>
      <c r="X44" s="51">
        <f t="shared" si="18"/>
        <v>133.18236337433473</v>
      </c>
      <c r="Y44" s="51">
        <f t="shared" si="18"/>
        <v>118.31077477580024</v>
      </c>
      <c r="Z44" s="51">
        <f t="shared" si="18"/>
        <v>103.14980857187462</v>
      </c>
      <c r="AA44" s="51">
        <f t="shared" si="18"/>
        <v>87.62003740997406</v>
      </c>
      <c r="AB44" s="51">
        <f t="shared" si="18"/>
        <v>71.621351048743634</v>
      </c>
      <c r="AC44" s="51">
        <f t="shared" si="18"/>
        <v>55.02983549492766</v>
      </c>
      <c r="AD44" s="51">
        <f t="shared" si="18"/>
        <v>37.693429534015095</v>
      </c>
      <c r="AE44" s="51">
        <f t="shared" si="18"/>
        <v>19.42607667032653</v>
      </c>
      <c r="AF44" s="29"/>
      <c r="AG44" s="29"/>
      <c r="AH44" s="29"/>
      <c r="AI44" s="29"/>
      <c r="AJ44" s="29"/>
      <c r="AK44" s="29"/>
      <c r="AL44" s="30"/>
      <c r="AM44" s="30"/>
      <c r="AN44" s="30"/>
      <c r="AO44" s="30"/>
      <c r="AP44" s="30"/>
      <c r="AQ44" s="30"/>
      <c r="AR44" s="30"/>
      <c r="AS44" s="30"/>
      <c r="AT44" s="31"/>
      <c r="AV44" s="47" t="s">
        <v>28</v>
      </c>
      <c r="AW44" s="26">
        <f>-($C$15*$C$16*F2)/($C$13)</f>
        <v>-120197000</v>
      </c>
      <c r="AX44" s="26">
        <f t="shared" ref="AX44:BV54" si="19">-($C$15*$C$16*G2)/($C$13)</f>
        <v>-120197000.00000007</v>
      </c>
      <c r="AY44" s="26">
        <f t="shared" si="19"/>
        <v>-116806940.71440394</v>
      </c>
      <c r="AZ44" s="26">
        <f t="shared" si="19"/>
        <v>-113270132.57132868</v>
      </c>
      <c r="BA44" s="26">
        <f t="shared" si="19"/>
        <v>-109596201.00804868</v>
      </c>
      <c r="BB44" s="26">
        <f t="shared" si="19"/>
        <v>-105793100.1439136</v>
      </c>
      <c r="BC44" s="26">
        <f t="shared" si="19"/>
        <v>-101867439.83297114</v>
      </c>
      <c r="BD44" s="26">
        <f t="shared" si="19"/>
        <v>-97824761.761917204</v>
      </c>
      <c r="BE44" s="26">
        <f t="shared" si="19"/>
        <v>-93669775.030245423</v>
      </c>
      <c r="BF44" s="26">
        <f t="shared" si="19"/>
        <v>-89406559.675011531</v>
      </c>
      <c r="BG44" s="26">
        <f t="shared" si="19"/>
        <v>-85038744.99288398</v>
      </c>
      <c r="BH44" s="26">
        <f t="shared" si="19"/>
        <v>-80569668.174592346</v>
      </c>
      <c r="BI44" s="26">
        <f t="shared" si="19"/>
        <v>-76002517.622351944</v>
      </c>
      <c r="BJ44" s="26">
        <f t="shared" si="19"/>
        <v>-71340464.298647925</v>
      </c>
      <c r="BK44" s="26">
        <f t="shared" si="19"/>
        <v>-66586783.488266349</v>
      </c>
      <c r="BL44" s="26">
        <f t="shared" si="19"/>
        <v>-61744968.377836324</v>
      </c>
      <c r="BM44" s="26">
        <f t="shared" si="19"/>
        <v>-56367548.201668248</v>
      </c>
      <c r="BN44" s="26">
        <f t="shared" si="19"/>
        <v>-51509848.609735563</v>
      </c>
      <c r="BO44" s="26">
        <f t="shared" si="19"/>
        <v>-46656150.184918202</v>
      </c>
      <c r="BP44" s="26">
        <f t="shared" si="19"/>
        <v>-41793584.247177571</v>
      </c>
      <c r="BQ44" s="26">
        <f t="shared" si="19"/>
        <v>-36906303.190812565</v>
      </c>
      <c r="BR44" s="26">
        <f t="shared" si="19"/>
        <v>-31975512.348639339</v>
      </c>
      <c r="BS44" s="26">
        <f t="shared" si="19"/>
        <v>-26979377.731353365</v>
      </c>
      <c r="BT44" s="26">
        <f t="shared" si="19"/>
        <v>-21892805.542196319</v>
      </c>
      <c r="BU44" s="26">
        <f t="shared" si="19"/>
        <v>-16687084.119730979</v>
      </c>
      <c r="BV44" s="26">
        <f t="shared" si="19"/>
        <v>-11329372.952808166</v>
      </c>
      <c r="BW44" s="29"/>
      <c r="BX44" s="29"/>
      <c r="BY44" s="29"/>
      <c r="BZ44" s="29"/>
      <c r="CA44" s="29"/>
      <c r="CB44" s="29"/>
      <c r="CC44" s="30"/>
      <c r="CD44" s="30"/>
      <c r="CE44" s="30"/>
      <c r="CF44" s="30"/>
      <c r="CG44" s="30"/>
      <c r="CH44" s="30"/>
      <c r="CI44" s="30"/>
      <c r="CJ44" s="30"/>
      <c r="CK44" s="31"/>
      <c r="CM44" s="48" t="s">
        <v>29</v>
      </c>
      <c r="CN44" s="49">
        <v>0</v>
      </c>
      <c r="CO44" s="14">
        <f>$C$20/($C$21-$C$22*CN44)</f>
        <v>0.47951790558030016</v>
      </c>
      <c r="CP44" s="14">
        <f t="shared" ref="CP44:DM44" si="20">$C$20/($C$21-$C$22*CO44)</f>
        <v>0.62269991964003457</v>
      </c>
      <c r="CQ44" s="14">
        <f t="shared" si="20"/>
        <v>0.68365413138804965</v>
      </c>
      <c r="CR44" s="14">
        <f t="shared" si="20"/>
        <v>0.71338189544565556</v>
      </c>
      <c r="CS44" s="14">
        <f t="shared" si="20"/>
        <v>0.7288385559423749</v>
      </c>
      <c r="CT44" s="14">
        <f t="shared" si="20"/>
        <v>0.73714277157833852</v>
      </c>
      <c r="CU44" s="14">
        <f t="shared" si="20"/>
        <v>0.74168290376483481</v>
      </c>
      <c r="CV44" s="14">
        <f t="shared" si="20"/>
        <v>0.74418883943825731</v>
      </c>
      <c r="CW44" s="14">
        <f t="shared" si="20"/>
        <v>0.74557926227188609</v>
      </c>
      <c r="CX44" s="14">
        <f t="shared" si="20"/>
        <v>0.74635298434150033</v>
      </c>
      <c r="CY44" s="14">
        <f t="shared" si="20"/>
        <v>0.74678422966310576</v>
      </c>
      <c r="CZ44" s="14">
        <f t="shared" si="20"/>
        <v>0.7470248069144555</v>
      </c>
      <c r="DA44" s="14">
        <f t="shared" si="20"/>
        <v>0.74715908423415356</v>
      </c>
      <c r="DB44" s="14">
        <f t="shared" si="20"/>
        <v>0.7472340516255952</v>
      </c>
      <c r="DC44" s="14">
        <f t="shared" si="20"/>
        <v>0.74727591266789473</v>
      </c>
      <c r="DD44" s="14">
        <f t="shared" si="20"/>
        <v>0.74729928949639013</v>
      </c>
      <c r="DE44" s="14">
        <f t="shared" si="20"/>
        <v>0.74731234465992313</v>
      </c>
      <c r="DF44" s="14">
        <f t="shared" si="20"/>
        <v>0.74731963572317806</v>
      </c>
      <c r="DG44" s="14">
        <f t="shared" si="20"/>
        <v>0.74732370770676959</v>
      </c>
      <c r="DH44" s="14">
        <f t="shared" si="20"/>
        <v>0.74732598188689847</v>
      </c>
      <c r="DI44" s="14">
        <f t="shared" si="20"/>
        <v>0.74732725200984262</v>
      </c>
      <c r="DJ44" s="14">
        <f t="shared" si="20"/>
        <v>0.74732796137166757</v>
      </c>
      <c r="DK44" s="14">
        <f t="shared" si="20"/>
        <v>0.74732835754980542</v>
      </c>
      <c r="DL44" s="14">
        <f t="shared" si="20"/>
        <v>0.74732857881523174</v>
      </c>
      <c r="DM44" s="14">
        <f t="shared" si="20"/>
        <v>0.74732870239199378</v>
      </c>
      <c r="DN44" s="29"/>
      <c r="DO44" s="29"/>
      <c r="DP44" s="29"/>
      <c r="DQ44" s="29"/>
      <c r="DR44" s="29"/>
      <c r="DS44" s="29"/>
      <c r="DT44" s="30"/>
      <c r="DU44" s="30"/>
      <c r="DV44" s="30"/>
      <c r="DW44" s="30"/>
      <c r="DX44" s="30"/>
      <c r="DY44" s="30"/>
      <c r="DZ44" s="30"/>
      <c r="EA44" s="30"/>
      <c r="EB44" s="31"/>
      <c r="ED44" s="48" t="s">
        <v>33</v>
      </c>
      <c r="EE44" s="26">
        <v>350</v>
      </c>
      <c r="EF44" s="14">
        <f>(EE44*$C$22-AX44)/($C$21-$C$22*CN44)</f>
        <v>182.16873304689494</v>
      </c>
      <c r="EG44" s="14">
        <f t="shared" ref="EG44:FD54" si="21">(EF44*$C$22-AY44)/($C$21-$C$22*CO44)</f>
        <v>131.52990632381983</v>
      </c>
      <c r="EH44" s="14">
        <f t="shared" si="21"/>
        <v>109.18404696763646</v>
      </c>
      <c r="EI44" s="14">
        <f t="shared" si="21"/>
        <v>97.338665066947442</v>
      </c>
      <c r="EJ44" s="14">
        <f t="shared" si="21"/>
        <v>90.124791571706936</v>
      </c>
      <c r="EK44" s="14">
        <f t="shared" si="21"/>
        <v>85.114153804318477</v>
      </c>
      <c r="EL44" s="14">
        <f t="shared" si="21"/>
        <v>81.176208606686103</v>
      </c>
      <c r="EM44" s="14">
        <f t="shared" si="21"/>
        <v>77.750727271565069</v>
      </c>
      <c r="EN44" s="14">
        <f t="shared" si="21"/>
        <v>74.551339035649633</v>
      </c>
      <c r="EO44" s="14">
        <f t="shared" si="21"/>
        <v>71.429903209269</v>
      </c>
      <c r="EP44" s="14">
        <f t="shared" si="21"/>
        <v>68.3099286216449</v>
      </c>
      <c r="EQ44" s="14">
        <f t="shared" si="21"/>
        <v>65.152536127444407</v>
      </c>
      <c r="ER44" s="14">
        <f t="shared" si="21"/>
        <v>61.938681361403795</v>
      </c>
      <c r="ES44" s="14">
        <f t="shared" si="21"/>
        <v>58.65978436599206</v>
      </c>
      <c r="ET44" s="14">
        <f t="shared" si="21"/>
        <v>55.312787082381199</v>
      </c>
      <c r="EU44" s="14">
        <f t="shared" si="21"/>
        <v>51.813671342887829</v>
      </c>
      <c r="EV44" s="14">
        <f t="shared" si="21"/>
        <v>48.296604609134754</v>
      </c>
      <c r="EW44" s="14">
        <f t="shared" si="21"/>
        <v>44.766398266756731</v>
      </c>
      <c r="EX44" s="14">
        <f t="shared" si="21"/>
        <v>41.224477384623377</v>
      </c>
      <c r="EY44" s="14">
        <f t="shared" si="21"/>
        <v>37.669078081498988</v>
      </c>
      <c r="EZ44" s="14">
        <f t="shared" si="21"/>
        <v>34.095449945484226</v>
      </c>
      <c r="FA44" s="14">
        <f t="shared" si="21"/>
        <v>30.496016273701116</v>
      </c>
      <c r="FB44" s="14">
        <f t="shared" si="21"/>
        <v>26.86046671085283</v>
      </c>
      <c r="FC44" s="14">
        <f t="shared" si="21"/>
        <v>23.175767264024238</v>
      </c>
      <c r="FD44" s="14">
        <f t="shared" si="21"/>
        <v>19.42607667032653</v>
      </c>
      <c r="FE44" s="29"/>
      <c r="FF44" s="29"/>
      <c r="FG44" s="29"/>
      <c r="FH44" s="29"/>
      <c r="FI44" s="29"/>
      <c r="FJ44" s="29"/>
      <c r="FK44" s="30"/>
      <c r="FL44" s="30"/>
      <c r="FM44" s="30"/>
      <c r="FN44" s="30"/>
      <c r="FO44" s="30"/>
      <c r="FP44" s="30"/>
      <c r="FQ44" s="30"/>
      <c r="FR44" s="30"/>
      <c r="FS44" s="31"/>
    </row>
    <row r="45" spans="2:175" x14ac:dyDescent="0.25">
      <c r="E45" s="46"/>
      <c r="F45" s="26">
        <v>350</v>
      </c>
      <c r="G45" s="14">
        <f t="shared" si="4"/>
        <v>341.00550653115101</v>
      </c>
      <c r="H45" s="14">
        <f t="shared" si="5"/>
        <v>331.46782279677439</v>
      </c>
      <c r="I45" s="14">
        <f t="shared" si="6"/>
        <v>321.43491023264846</v>
      </c>
      <c r="J45" s="14">
        <f t="shared" si="7"/>
        <v>310.94673484593409</v>
      </c>
      <c r="K45" s="14">
        <f t="shared" si="8"/>
        <v>300.03671206984598</v>
      </c>
      <c r="L45" s="14">
        <f t="shared" si="9"/>
        <v>288.73292181531116</v>
      </c>
      <c r="M45" s="14">
        <f t="shared" si="10"/>
        <v>277.05913280840792</v>
      </c>
      <c r="N45" s="14">
        <f t="shared" si="11"/>
        <v>265.03566795301555</v>
      </c>
      <c r="O45" s="14">
        <f t="shared" si="12"/>
        <v>252.6801359803178</v>
      </c>
      <c r="P45" s="14">
        <f t="shared" si="13"/>
        <v>240.00804879620671</v>
      </c>
      <c r="Q45" s="14">
        <f t="shared" si="14"/>
        <v>227.03333847022861</v>
      </c>
      <c r="R45" s="14">
        <f t="shared" si="15"/>
        <v>213.76878247448377</v>
      </c>
      <c r="S45" s="51">
        <f t="shared" si="16"/>
        <v>200.22634031045294</v>
      </c>
      <c r="T45" s="51">
        <f t="shared" si="17"/>
        <v>186.41739876087161</v>
      </c>
      <c r="U45" s="51">
        <f t="shared" si="18"/>
        <v>172.3529163356599</v>
      </c>
      <c r="V45" s="51">
        <f t="shared" si="18"/>
        <v>158.08156024397729</v>
      </c>
      <c r="W45" s="51">
        <f t="shared" si="18"/>
        <v>143.68803003709175</v>
      </c>
      <c r="X45" s="51">
        <f t="shared" si="18"/>
        <v>129.14847935719337</v>
      </c>
      <c r="Y45" s="51">
        <f t="shared" si="18"/>
        <v>114.42523959155014</v>
      </c>
      <c r="Z45" s="51">
        <f t="shared" si="18"/>
        <v>99.467009359081857</v>
      </c>
      <c r="AA45" s="51">
        <f t="shared" si="18"/>
        <v>84.20855465572437</v>
      </c>
      <c r="AB45" s="51">
        <f t="shared" si="18"/>
        <v>68.56988670884266</v>
      </c>
      <c r="AC45" s="51">
        <f t="shared" si="18"/>
        <v>52.45486760306099</v>
      </c>
      <c r="AD45" s="51">
        <f t="shared" si="18"/>
        <v>35.749172886245823</v>
      </c>
      <c r="AE45" s="51">
        <f t="shared" si="18"/>
        <v>18.317514946947746</v>
      </c>
      <c r="AF45" s="12"/>
      <c r="AG45" s="12"/>
      <c r="AH45" s="12"/>
      <c r="AI45" s="12"/>
      <c r="AJ45" s="12"/>
      <c r="AK45" s="12"/>
      <c r="AL45" s="24"/>
      <c r="AM45" s="24"/>
      <c r="AN45" s="24"/>
      <c r="AO45" s="24"/>
      <c r="AP45" s="24"/>
      <c r="AQ45" s="24"/>
      <c r="AR45" s="24"/>
      <c r="AS45" s="24"/>
      <c r="AT45" s="32"/>
      <c r="AV45" s="47"/>
      <c r="AW45" s="26">
        <f t="shared" ref="AW45:AW59" si="22">-($C$15*$C$16*F3)/($C$13)</f>
        <v>-120197000</v>
      </c>
      <c r="AX45" s="26">
        <f t="shared" si="19"/>
        <v>-119291735.92034909</v>
      </c>
      <c r="AY45" s="26">
        <f t="shared" si="19"/>
        <v>-115823499.60046044</v>
      </c>
      <c r="AZ45" s="26">
        <f t="shared" si="19"/>
        <v>-112217333.41890152</v>
      </c>
      <c r="BA45" s="26">
        <f t="shared" si="19"/>
        <v>-108481154.18607292</v>
      </c>
      <c r="BB45" s="26">
        <f t="shared" si="19"/>
        <v>-104621552.92238218</v>
      </c>
      <c r="BC45" s="26">
        <f t="shared" si="19"/>
        <v>-100644054.99433544</v>
      </c>
      <c r="BD45" s="26">
        <f t="shared" si="19"/>
        <v>-96553344.29998976</v>
      </c>
      <c r="BE45" s="26">
        <f t="shared" si="19"/>
        <v>-92353458.899992198</v>
      </c>
      <c r="BF45" s="26">
        <f t="shared" si="19"/>
        <v>-88047964.248242244</v>
      </c>
      <c r="BG45" s="26">
        <f t="shared" si="19"/>
        <v>-83640109.147898734</v>
      </c>
      <c r="BH45" s="26">
        <f t="shared" si="19"/>
        <v>-79132968.689908192</v>
      </c>
      <c r="BI45" s="26">
        <f t="shared" si="19"/>
        <v>-74529577.673897013</v>
      </c>
      <c r="BJ45" s="26">
        <f t="shared" si="19"/>
        <v>-69833057.31932871</v>
      </c>
      <c r="BK45" s="26">
        <f t="shared" si="19"/>
        <v>-65046737.402492657</v>
      </c>
      <c r="BL45" s="26">
        <f t="shared" si="19"/>
        <v>-60021070.667205416</v>
      </c>
      <c r="BM45" s="26">
        <f t="shared" si="19"/>
        <v>-54779509.362102471</v>
      </c>
      <c r="BN45" s="26">
        <f t="shared" si="19"/>
        <v>-49932345.576849595</v>
      </c>
      <c r="BO45" s="26">
        <f t="shared" si="19"/>
        <v>-45090600.905541711</v>
      </c>
      <c r="BP45" s="26">
        <f t="shared" si="19"/>
        <v>-40240577.457166687</v>
      </c>
      <c r="BQ45" s="26">
        <f t="shared" si="19"/>
        <v>-35365862.727070563</v>
      </c>
      <c r="BR45" s="26">
        <f t="shared" si="19"/>
        <v>-30447359.07883621</v>
      </c>
      <c r="BS45" s="26">
        <f t="shared" si="19"/>
        <v>-25463202.15232851</v>
      </c>
      <c r="BT45" s="26">
        <f t="shared" si="19"/>
        <v>-20388566.588597905</v>
      </c>
      <c r="BU45" s="26">
        <f t="shared" si="19"/>
        <v>-15195353.106975809</v>
      </c>
      <c r="BV45" s="26">
        <f t="shared" si="19"/>
        <v>-9851746.1538324896</v>
      </c>
      <c r="BW45" s="12"/>
      <c r="BX45" s="12"/>
      <c r="BY45" s="12"/>
      <c r="BZ45" s="12"/>
      <c r="CA45" s="12"/>
      <c r="CB45" s="12"/>
      <c r="CC45" s="24"/>
      <c r="CD45" s="24"/>
      <c r="CE45" s="24"/>
      <c r="CF45" s="24"/>
      <c r="CG45" s="24"/>
      <c r="CH45" s="24"/>
      <c r="CI45" s="24"/>
      <c r="CJ45" s="24"/>
      <c r="CK45" s="32"/>
      <c r="CM45" s="47"/>
      <c r="CN45" s="49">
        <v>0</v>
      </c>
      <c r="CO45" s="14">
        <f>$C$20/($C$21-$C$22*CN45)</f>
        <v>0.47951790558030016</v>
      </c>
      <c r="CP45" s="14">
        <f t="shared" ref="CP45:DM45" si="23">$C$20/($C$21-$C$22*CO45)</f>
        <v>0.62269991964003457</v>
      </c>
      <c r="CQ45" s="14">
        <f t="shared" si="23"/>
        <v>0.68365413138804965</v>
      </c>
      <c r="CR45" s="14">
        <f t="shared" si="23"/>
        <v>0.71338189544565556</v>
      </c>
      <c r="CS45" s="14">
        <f t="shared" si="23"/>
        <v>0.7288385559423749</v>
      </c>
      <c r="CT45" s="14">
        <f t="shared" si="23"/>
        <v>0.73714277157833852</v>
      </c>
      <c r="CU45" s="14">
        <f t="shared" si="23"/>
        <v>0.74168290376483481</v>
      </c>
      <c r="CV45" s="14">
        <f t="shared" si="23"/>
        <v>0.74418883943825731</v>
      </c>
      <c r="CW45" s="14">
        <f t="shared" si="23"/>
        <v>0.74557926227188609</v>
      </c>
      <c r="CX45" s="14">
        <f t="shared" si="23"/>
        <v>0.74635298434150033</v>
      </c>
      <c r="CY45" s="14">
        <f t="shared" si="23"/>
        <v>0.74678422966310576</v>
      </c>
      <c r="CZ45" s="14">
        <f t="shared" si="23"/>
        <v>0.7470248069144555</v>
      </c>
      <c r="DA45" s="14">
        <f t="shared" si="23"/>
        <v>0.74715908423415356</v>
      </c>
      <c r="DB45" s="14">
        <f t="shared" si="23"/>
        <v>0.7472340516255952</v>
      </c>
      <c r="DC45" s="14">
        <f t="shared" si="23"/>
        <v>0.74727591266789473</v>
      </c>
      <c r="DD45" s="14">
        <f t="shared" si="23"/>
        <v>0.74729928949639013</v>
      </c>
      <c r="DE45" s="14">
        <f t="shared" si="23"/>
        <v>0.74731234465992313</v>
      </c>
      <c r="DF45" s="14">
        <f t="shared" si="23"/>
        <v>0.74731963572317806</v>
      </c>
      <c r="DG45" s="14">
        <f t="shared" si="23"/>
        <v>0.74732370770676959</v>
      </c>
      <c r="DH45" s="14">
        <f t="shared" si="23"/>
        <v>0.74732598188689847</v>
      </c>
      <c r="DI45" s="14">
        <f t="shared" si="23"/>
        <v>0.74732725200984262</v>
      </c>
      <c r="DJ45" s="14">
        <f t="shared" si="23"/>
        <v>0.74732796137166757</v>
      </c>
      <c r="DK45" s="14">
        <f t="shared" si="23"/>
        <v>0.74732835754980542</v>
      </c>
      <c r="DL45" s="14">
        <f t="shared" si="23"/>
        <v>0.74732857881523174</v>
      </c>
      <c r="DM45" s="14">
        <f t="shared" si="23"/>
        <v>0.74732870239199378</v>
      </c>
      <c r="DN45" s="12"/>
      <c r="DO45" s="12"/>
      <c r="DP45" s="12"/>
      <c r="DQ45" s="12"/>
      <c r="DR45" s="12"/>
      <c r="DS45" s="12"/>
      <c r="DT45" s="24"/>
      <c r="DU45" s="24"/>
      <c r="DV45" s="24"/>
      <c r="DW45" s="24"/>
      <c r="DX45" s="24"/>
      <c r="DY45" s="24"/>
      <c r="DZ45" s="24"/>
      <c r="EA45" s="24"/>
      <c r="EB45" s="32"/>
      <c r="ED45" s="47"/>
      <c r="EE45" s="26">
        <v>350</v>
      </c>
      <c r="EF45" s="14">
        <f t="shared" ref="EF45:EF59" si="24">(EE45*$C$22-AX45)/($C$21-$C$22*CN45)</f>
        <v>182.0607503763797</v>
      </c>
      <c r="EG45" s="14">
        <f t="shared" si="21"/>
        <v>131.31033002540246</v>
      </c>
      <c r="EH45" s="14">
        <f t="shared" si="21"/>
        <v>108.8548903136012</v>
      </c>
      <c r="EI45" s="14">
        <f t="shared" si="21"/>
        <v>96.905976486264933</v>
      </c>
      <c r="EJ45" s="14">
        <f t="shared" si="21"/>
        <v>89.597026280951923</v>
      </c>
      <c r="EK45" s="14">
        <f t="shared" si="21"/>
        <v>84.500784765830375</v>
      </c>
      <c r="EL45" s="14">
        <f t="shared" si="21"/>
        <v>80.486708999762783</v>
      </c>
      <c r="EM45" s="14">
        <f t="shared" si="21"/>
        <v>76.9939308087218</v>
      </c>
      <c r="EN45" s="14">
        <f t="shared" si="21"/>
        <v>73.735112019527165</v>
      </c>
      <c r="EO45" s="14">
        <f t="shared" si="21"/>
        <v>70.561039083937644</v>
      </c>
      <c r="EP45" s="14">
        <f t="shared" si="21"/>
        <v>67.394182924001242</v>
      </c>
      <c r="EQ45" s="14">
        <f t="shared" si="21"/>
        <v>64.19473926487963</v>
      </c>
      <c r="ER45" s="14">
        <f t="shared" si="21"/>
        <v>60.942887366967071</v>
      </c>
      <c r="ES45" s="14">
        <f t="shared" si="21"/>
        <v>57.62943077788924</v>
      </c>
      <c r="ET45" s="14">
        <f t="shared" si="21"/>
        <v>54.222374128376984</v>
      </c>
      <c r="EU45" s="14">
        <f t="shared" si="21"/>
        <v>50.703597488122675</v>
      </c>
      <c r="EV45" s="14">
        <f t="shared" si="21"/>
        <v>47.173777119403887</v>
      </c>
      <c r="EW45" s="14">
        <f t="shared" si="21"/>
        <v>43.636250988098766</v>
      </c>
      <c r="EX45" s="14">
        <f t="shared" si="21"/>
        <v>40.091185362817129</v>
      </c>
      <c r="EY45" s="14">
        <f t="shared" si="21"/>
        <v>36.53576856771609</v>
      </c>
      <c r="EZ45" s="14">
        <f t="shared" si="21"/>
        <v>32.964409650978752</v>
      </c>
      <c r="FA45" s="14">
        <f t="shared" si="21"/>
        <v>29.368897439026355</v>
      </c>
      <c r="FB45" s="14">
        <f t="shared" si="21"/>
        <v>25.738496946218866</v>
      </c>
      <c r="FC45" s="14">
        <f t="shared" si="21"/>
        <v>22.059970473516596</v>
      </c>
      <c r="FD45" s="14">
        <f t="shared" si="21"/>
        <v>18.317514946947746</v>
      </c>
      <c r="FE45" s="12"/>
      <c r="FF45" s="12"/>
      <c r="FG45" s="12"/>
      <c r="FH45" s="12"/>
      <c r="FI45" s="12"/>
      <c r="FJ45" s="12"/>
      <c r="FK45" s="24"/>
      <c r="FL45" s="24"/>
      <c r="FM45" s="24"/>
      <c r="FN45" s="24"/>
      <c r="FO45" s="24"/>
      <c r="FP45" s="24"/>
      <c r="FQ45" s="24"/>
      <c r="FR45" s="24"/>
      <c r="FS45" s="32"/>
    </row>
    <row r="46" spans="2:175" x14ac:dyDescent="0.25">
      <c r="E46" s="46"/>
      <c r="F46" s="26">
        <v>350</v>
      </c>
      <c r="G46" s="14">
        <f t="shared" si="4"/>
        <v>340.32069483741247</v>
      </c>
      <c r="H46" s="14">
        <f t="shared" si="5"/>
        <v>330.21848389855086</v>
      </c>
      <c r="I46" s="14">
        <f t="shared" si="6"/>
        <v>319.71664653411989</v>
      </c>
      <c r="J46" s="14">
        <f t="shared" si="7"/>
        <v>308.83575696265899</v>
      </c>
      <c r="K46" s="14">
        <f t="shared" si="8"/>
        <v>297.59402098860119</v>
      </c>
      <c r="L46" s="14">
        <f t="shared" si="9"/>
        <v>286.00763460648523</v>
      </c>
      <c r="M46" s="14">
        <f t="shared" si="10"/>
        <v>274.09115040081736</v>
      </c>
      <c r="N46" s="14">
        <f t="shared" si="11"/>
        <v>261.85784289980074</v>
      </c>
      <c r="O46" s="14">
        <f t="shared" si="12"/>
        <v>249.32006752552195</v>
      </c>
      <c r="P46" s="14">
        <f t="shared" si="13"/>
        <v>236.48960990682474</v>
      </c>
      <c r="Q46" s="14">
        <f t="shared" si="14"/>
        <v>223.3780233557664</v>
      </c>
      <c r="R46" s="14">
        <f t="shared" si="15"/>
        <v>209.99695242055432</v>
      </c>
      <c r="S46" s="51">
        <f t="shared" si="16"/>
        <v>196.35843969601686</v>
      </c>
      <c r="T46" s="51">
        <f t="shared" si="17"/>
        <v>182.47521149919356</v>
      </c>
      <c r="U46" s="51">
        <f t="shared" si="18"/>
        <v>168.36093553342124</v>
      </c>
      <c r="V46" s="51">
        <f t="shared" si="18"/>
        <v>154.10991702281655</v>
      </c>
      <c r="W46" s="51">
        <f t="shared" si="18"/>
        <v>139.78203287708646</v>
      </c>
      <c r="X46" s="51">
        <f t="shared" si="18"/>
        <v>125.35438675022286</v>
      </c>
      <c r="Y46" s="51">
        <f t="shared" si="18"/>
        <v>110.79267827653581</v>
      </c>
      <c r="Z46" s="51">
        <f t="shared" si="18"/>
        <v>96.051902758185832</v>
      </c>
      <c r="AA46" s="51">
        <f t="shared" si="18"/>
        <v>81.076704128914173</v>
      </c>
      <c r="AB46" s="51">
        <f t="shared" si="18"/>
        <v>65.801401790893152</v>
      </c>
      <c r="AC46" s="51">
        <f t="shared" si="18"/>
        <v>50.149706993851083</v>
      </c>
      <c r="AD46" s="51">
        <f t="shared" si="18"/>
        <v>34.03414028698009</v>
      </c>
      <c r="AE46" s="51">
        <f t="shared" si="18"/>
        <v>17.355158672962087</v>
      </c>
      <c r="AF46" s="12"/>
      <c r="AG46" s="12"/>
      <c r="AH46" s="12"/>
      <c r="AI46" s="12"/>
      <c r="AJ46" s="12"/>
      <c r="AK46" s="12"/>
      <c r="AL46" s="24"/>
      <c r="AM46" s="24"/>
      <c r="AN46" s="24"/>
      <c r="AO46" s="24"/>
      <c r="AP46" s="24"/>
      <c r="AQ46" s="24"/>
      <c r="AR46" s="24"/>
      <c r="AS46" s="24"/>
      <c r="AT46" s="32"/>
      <c r="AV46" s="47"/>
      <c r="AW46" s="26">
        <f t="shared" si="22"/>
        <v>-120197000</v>
      </c>
      <c r="AX46" s="26">
        <f t="shared" si="19"/>
        <v>-118573014.2416856</v>
      </c>
      <c r="AY46" s="26">
        <f t="shared" si="19"/>
        <v>-115010129.9712294</v>
      </c>
      <c r="AZ46" s="26">
        <f t="shared" si="19"/>
        <v>-111320880.62500763</v>
      </c>
      <c r="BA46" s="26">
        <f t="shared" si="19"/>
        <v>-107510978.19455585</v>
      </c>
      <c r="BB46" s="26">
        <f t="shared" si="19"/>
        <v>-103585233.3282989</v>
      </c>
      <c r="BC46" s="26">
        <f t="shared" si="19"/>
        <v>-99547735.127238125</v>
      </c>
      <c r="BD46" s="26">
        <f t="shared" si="19"/>
        <v>-95402012.517950445</v>
      </c>
      <c r="BE46" s="26">
        <f t="shared" si="19"/>
        <v>-91151181.259163976</v>
      </c>
      <c r="BF46" s="26">
        <f t="shared" si="19"/>
        <v>-86798080.212176517</v>
      </c>
      <c r="BG46" s="26">
        <f t="shared" si="19"/>
        <v>-82345400.142293468</v>
      </c>
      <c r="BH46" s="26">
        <f t="shared" si="19"/>
        <v>-77795808.005135328</v>
      </c>
      <c r="BI46" s="26">
        <f t="shared" si="19"/>
        <v>-73152069.393354848</v>
      </c>
      <c r="BJ46" s="26">
        <f t="shared" si="19"/>
        <v>-68417171.558995232</v>
      </c>
      <c r="BK46" s="26">
        <f t="shared" si="19"/>
        <v>-63594449.164227948</v>
      </c>
      <c r="BL46" s="26">
        <f t="shared" si="19"/>
        <v>-58368217.511113942</v>
      </c>
      <c r="BM46" s="26">
        <f t="shared" si="19"/>
        <v>-53233427.557179689</v>
      </c>
      <c r="BN46" s="26">
        <f t="shared" si="19"/>
        <v>-48404988.894805714</v>
      </c>
      <c r="BO46" s="26">
        <f t="shared" si="19"/>
        <v>-43588134.131991737</v>
      </c>
      <c r="BP46" s="26">
        <f t="shared" si="19"/>
        <v>-38768271.09327285</v>
      </c>
      <c r="BQ46" s="26">
        <f t="shared" si="19"/>
        <v>-33928525.351121351</v>
      </c>
      <c r="BR46" s="26">
        <f t="shared" si="19"/>
        <v>-29049778.641124159</v>
      </c>
      <c r="BS46" s="26">
        <f t="shared" si="19"/>
        <v>-24110615.088293072</v>
      </c>
      <c r="BT46" s="26">
        <f t="shared" si="19"/>
        <v>-19087177.453340627</v>
      </c>
      <c r="BU46" s="26">
        <f t="shared" si="19"/>
        <v>-13952932.384085715</v>
      </c>
      <c r="BV46" s="26">
        <f t="shared" si="19"/>
        <v>-8678340.3684238661</v>
      </c>
      <c r="BW46" s="12"/>
      <c r="BX46" s="12"/>
      <c r="BY46" s="12"/>
      <c r="BZ46" s="12"/>
      <c r="CA46" s="12"/>
      <c r="CB46" s="12"/>
      <c r="CC46" s="24"/>
      <c r="CD46" s="24"/>
      <c r="CE46" s="24"/>
      <c r="CF46" s="24"/>
      <c r="CG46" s="24"/>
      <c r="CH46" s="24"/>
      <c r="CI46" s="24"/>
      <c r="CJ46" s="24"/>
      <c r="CK46" s="32"/>
      <c r="CM46" s="47"/>
      <c r="CN46" s="49">
        <v>0</v>
      </c>
      <c r="CO46" s="14">
        <f t="shared" ref="CO46:CT59" si="25">$C$20/($C$21-$C$22*CN46)</f>
        <v>0.47951790558030016</v>
      </c>
      <c r="CP46" s="14">
        <f t="shared" ref="CP46:DM46" si="26">$C$20/($C$21-$C$22*CO46)</f>
        <v>0.62269991964003457</v>
      </c>
      <c r="CQ46" s="14">
        <f t="shared" si="26"/>
        <v>0.68365413138804965</v>
      </c>
      <c r="CR46" s="14">
        <f t="shared" si="26"/>
        <v>0.71338189544565556</v>
      </c>
      <c r="CS46" s="14">
        <f t="shared" si="26"/>
        <v>0.7288385559423749</v>
      </c>
      <c r="CT46" s="14">
        <f t="shared" si="26"/>
        <v>0.73714277157833852</v>
      </c>
      <c r="CU46" s="14">
        <f t="shared" si="26"/>
        <v>0.74168290376483481</v>
      </c>
      <c r="CV46" s="14">
        <f t="shared" si="26"/>
        <v>0.74418883943825731</v>
      </c>
      <c r="CW46" s="14">
        <f t="shared" si="26"/>
        <v>0.74557926227188609</v>
      </c>
      <c r="CX46" s="14">
        <f t="shared" si="26"/>
        <v>0.74635298434150033</v>
      </c>
      <c r="CY46" s="14">
        <f t="shared" si="26"/>
        <v>0.74678422966310576</v>
      </c>
      <c r="CZ46" s="14">
        <f t="shared" si="26"/>
        <v>0.7470248069144555</v>
      </c>
      <c r="DA46" s="14">
        <f t="shared" si="26"/>
        <v>0.74715908423415356</v>
      </c>
      <c r="DB46" s="14">
        <f t="shared" si="26"/>
        <v>0.7472340516255952</v>
      </c>
      <c r="DC46" s="14">
        <f t="shared" si="26"/>
        <v>0.74727591266789473</v>
      </c>
      <c r="DD46" s="14">
        <f t="shared" si="26"/>
        <v>0.74729928949639013</v>
      </c>
      <c r="DE46" s="14">
        <f t="shared" si="26"/>
        <v>0.74731234465992313</v>
      </c>
      <c r="DF46" s="14">
        <f t="shared" si="26"/>
        <v>0.74731963572317806</v>
      </c>
      <c r="DG46" s="14">
        <f t="shared" si="26"/>
        <v>0.74732370770676959</v>
      </c>
      <c r="DH46" s="14">
        <f t="shared" si="26"/>
        <v>0.74732598188689847</v>
      </c>
      <c r="DI46" s="14">
        <f t="shared" si="26"/>
        <v>0.74732725200984262</v>
      </c>
      <c r="DJ46" s="14">
        <f t="shared" si="26"/>
        <v>0.74732796137166757</v>
      </c>
      <c r="DK46" s="14">
        <f t="shared" si="26"/>
        <v>0.74732835754980542</v>
      </c>
      <c r="DL46" s="14">
        <f t="shared" si="26"/>
        <v>0.74732857881523174</v>
      </c>
      <c r="DM46" s="14">
        <f t="shared" si="26"/>
        <v>0.74732870239199378</v>
      </c>
      <c r="DN46" s="12"/>
      <c r="DO46" s="12"/>
      <c r="DP46" s="12"/>
      <c r="DQ46" s="12"/>
      <c r="DR46" s="12"/>
      <c r="DS46" s="12"/>
      <c r="DT46" s="24"/>
      <c r="DU46" s="24"/>
      <c r="DV46" s="24"/>
      <c r="DW46" s="24"/>
      <c r="DX46" s="24"/>
      <c r="DY46" s="24"/>
      <c r="DZ46" s="24"/>
      <c r="EA46" s="24"/>
      <c r="EB46" s="32"/>
      <c r="ED46" s="47"/>
      <c r="EE46" s="26">
        <v>350</v>
      </c>
      <c r="EF46" s="14">
        <f t="shared" si="24"/>
        <v>181.97501905447726</v>
      </c>
      <c r="EG46" s="14">
        <f t="shared" si="21"/>
        <v>131.13095379417308</v>
      </c>
      <c r="EH46" s="14">
        <f t="shared" si="21"/>
        <v>108.57980536624247</v>
      </c>
      <c r="EI46" s="14">
        <f t="shared" si="21"/>
        <v>96.537570196516484</v>
      </c>
      <c r="EJ46" s="14">
        <f t="shared" si="21"/>
        <v>89.140629593516053</v>
      </c>
      <c r="EK46" s="14">
        <f t="shared" si="21"/>
        <v>83.963324334931499</v>
      </c>
      <c r="EL46" s="14">
        <f t="shared" si="21"/>
        <v>79.875665105297173</v>
      </c>
      <c r="EM46" s="14">
        <f t="shared" si="21"/>
        <v>76.316631199314656</v>
      </c>
      <c r="EN46" s="14">
        <f t="shared" si="21"/>
        <v>72.998318636225434</v>
      </c>
      <c r="EO46" s="14">
        <f t="shared" si="21"/>
        <v>69.770755538943121</v>
      </c>
      <c r="EP46" s="14">
        <f t="shared" si="21"/>
        <v>66.555611010782869</v>
      </c>
      <c r="EQ46" s="14">
        <f t="shared" si="21"/>
        <v>63.312326920613572</v>
      </c>
      <c r="ER46" s="14">
        <f t="shared" si="21"/>
        <v>60.020427776845914</v>
      </c>
      <c r="ES46" s="14">
        <f t="shared" si="21"/>
        <v>56.670187505079554</v>
      </c>
      <c r="ET46" s="14">
        <f t="shared" si="21"/>
        <v>53.198306639022491</v>
      </c>
      <c r="EU46" s="14">
        <f t="shared" si="21"/>
        <v>49.650903169408799</v>
      </c>
      <c r="EV46" s="14">
        <f t="shared" si="21"/>
        <v>46.103152201370612</v>
      </c>
      <c r="EW46" s="14">
        <f t="shared" si="21"/>
        <v>42.556842779806857</v>
      </c>
      <c r="EX46" s="14">
        <f t="shared" si="21"/>
        <v>39.010814174998288</v>
      </c>
      <c r="EY46" s="14">
        <f t="shared" si="21"/>
        <v>35.461175236891485</v>
      </c>
      <c r="EZ46" s="14">
        <f t="shared" si="21"/>
        <v>31.901523350130454</v>
      </c>
      <c r="FA46" s="14">
        <f t="shared" si="21"/>
        <v>28.323123499791954</v>
      </c>
      <c r="FB46" s="14">
        <f t="shared" si="21"/>
        <v>24.715028832562584</v>
      </c>
      <c r="FC46" s="14">
        <f t="shared" si="21"/>
        <v>21.06413422080249</v>
      </c>
      <c r="FD46" s="14">
        <f t="shared" si="21"/>
        <v>17.355158672962087</v>
      </c>
      <c r="FE46" s="12"/>
      <c r="FF46" s="12"/>
      <c r="FG46" s="12"/>
      <c r="FH46" s="12"/>
      <c r="FI46" s="12"/>
      <c r="FJ46" s="12"/>
      <c r="FK46" s="24"/>
      <c r="FL46" s="24"/>
      <c r="FM46" s="24"/>
      <c r="FN46" s="24"/>
      <c r="FO46" s="24"/>
      <c r="FP46" s="24"/>
      <c r="FQ46" s="24"/>
      <c r="FR46" s="24"/>
      <c r="FS46" s="32"/>
    </row>
    <row r="47" spans="2:175" x14ac:dyDescent="0.25">
      <c r="E47" s="46"/>
      <c r="F47" s="26">
        <v>350</v>
      </c>
      <c r="G47" s="14">
        <f t="shared" si="4"/>
        <v>339.72907963295097</v>
      </c>
      <c r="H47" s="14">
        <f t="shared" si="5"/>
        <v>329.12737161984171</v>
      </c>
      <c r="I47" s="14">
        <f t="shared" si="6"/>
        <v>318.20101731633906</v>
      </c>
      <c r="J47" s="14">
        <f t="shared" si="7"/>
        <v>306.95675043241977</v>
      </c>
      <c r="K47" s="14">
        <f t="shared" si="8"/>
        <v>295.40162861289923</v>
      </c>
      <c r="L47" s="14">
        <f t="shared" si="9"/>
        <v>283.54291319161018</v>
      </c>
      <c r="M47" s="14">
        <f t="shared" si="10"/>
        <v>271.38806090304701</v>
      </c>
      <c r="N47" s="14">
        <f t="shared" si="11"/>
        <v>258.94480157053476</v>
      </c>
      <c r="O47" s="14">
        <f t="shared" si="12"/>
        <v>246.22128347682388</v>
      </c>
      <c r="P47" s="14">
        <f t="shared" si="13"/>
        <v>233.22627385553139</v>
      </c>
      <c r="Q47" s="14">
        <f t="shared" si="14"/>
        <v>219.96940615782768</v>
      </c>
      <c r="R47" s="14">
        <f t="shared" si="15"/>
        <v>206.46146876240076</v>
      </c>
      <c r="S47" s="51">
        <f t="shared" si="16"/>
        <v>192.71473182226757</v>
      </c>
      <c r="T47" s="51">
        <f t="shared" si="17"/>
        <v>178.74331011005705</v>
      </c>
      <c r="U47" s="51">
        <f t="shared" si="18"/>
        <v>164.56356009118485</v>
      </c>
      <c r="V47" s="51">
        <f t="shared" si="18"/>
        <v>150.32214174563256</v>
      </c>
      <c r="W47" s="51">
        <f t="shared" si="18"/>
        <v>136.05830722336717</v>
      </c>
      <c r="X47" s="51">
        <f t="shared" si="18"/>
        <v>121.74801782406844</v>
      </c>
      <c r="Y47" s="51">
        <f t="shared" si="18"/>
        <v>107.35787698983282</v>
      </c>
      <c r="Z47" s="51">
        <f t="shared" si="18"/>
        <v>92.846189434699482</v>
      </c>
      <c r="AA47" s="51">
        <f t="shared" si="18"/>
        <v>78.163741883481492</v>
      </c>
      <c r="AB47" s="51">
        <f t="shared" si="18"/>
        <v>63.254362098073045</v>
      </c>
      <c r="AC47" s="51">
        <f t="shared" si="18"/>
        <v>48.055311742810261</v>
      </c>
      <c r="AD47" s="51">
        <f t="shared" si="18"/>
        <v>32.497570827686559</v>
      </c>
      <c r="AE47" s="51">
        <f t="shared" si="18"/>
        <v>16.506077714810633</v>
      </c>
      <c r="AF47" s="12"/>
      <c r="AG47" s="12"/>
      <c r="AH47" s="12"/>
      <c r="AI47" s="12"/>
      <c r="AJ47" s="12"/>
      <c r="AK47" s="12"/>
      <c r="AL47" s="24"/>
      <c r="AM47" s="24"/>
      <c r="AN47" s="24"/>
      <c r="AO47" s="24"/>
      <c r="AP47" s="24"/>
      <c r="AQ47" s="24"/>
      <c r="AR47" s="24"/>
      <c r="AS47" s="24"/>
      <c r="AT47" s="32"/>
      <c r="AV47" s="47"/>
      <c r="AW47" s="26">
        <f t="shared" si="22"/>
        <v>-120197000</v>
      </c>
      <c r="AX47" s="26">
        <f t="shared" si="19"/>
        <v>-117999526.86471014</v>
      </c>
      <c r="AY47" s="26">
        <f t="shared" si="19"/>
        <v>-114334000.04906745</v>
      </c>
      <c r="AZ47" s="26">
        <f t="shared" si="19"/>
        <v>-110554601.94005199</v>
      </c>
      <c r="BA47" s="26">
        <f t="shared" si="19"/>
        <v>-106664724.07461861</v>
      </c>
      <c r="BB47" s="26">
        <f t="shared" si="19"/>
        <v>-102667273.57735094</v>
      </c>
      <c r="BC47" s="26">
        <f t="shared" si="19"/>
        <v>-98564777.454705015</v>
      </c>
      <c r="BD47" s="26">
        <f t="shared" si="19"/>
        <v>-94359484.191999808</v>
      </c>
      <c r="BE47" s="26">
        <f t="shared" si="19"/>
        <v>-90053463.975371495</v>
      </c>
      <c r="BF47" s="26">
        <f t="shared" si="19"/>
        <v>-85648709.11248894</v>
      </c>
      <c r="BG47" s="26">
        <f t="shared" si="19"/>
        <v>-81147236.434639633</v>
      </c>
      <c r="BH47" s="26">
        <f t="shared" si="19"/>
        <v>-76551193.647568539</v>
      </c>
      <c r="BI47" s="26">
        <f t="shared" si="19"/>
        <v>-71862971.772102818</v>
      </c>
      <c r="BJ47" s="26">
        <f t="shared" si="19"/>
        <v>-67085325.986154161</v>
      </c>
      <c r="BK47" s="26">
        <f t="shared" si="19"/>
        <v>-62221507.350775704</v>
      </c>
      <c r="BL47" s="26">
        <f t="shared" si="19"/>
        <v>-56762324.479768828</v>
      </c>
      <c r="BM47" s="26">
        <f t="shared" si="19"/>
        <v>-51713742.948671654</v>
      </c>
      <c r="BN47" s="26">
        <f t="shared" si="19"/>
        <v>-46911892.472322695</v>
      </c>
      <c r="BO47" s="26">
        <f t="shared" si="19"/>
        <v>-42131707.049587861</v>
      </c>
      <c r="BP47" s="26">
        <f t="shared" si="19"/>
        <v>-37357459.933857158</v>
      </c>
      <c r="BQ47" s="26">
        <f t="shared" si="19"/>
        <v>-32571693.559924863</v>
      </c>
      <c r="BR47" s="26">
        <f t="shared" si="19"/>
        <v>-27755259.819070823</v>
      </c>
      <c r="BS47" s="26">
        <f t="shared" si="19"/>
        <v>-22887288.722534634</v>
      </c>
      <c r="BT47" s="26">
        <f t="shared" si="19"/>
        <v>-17945091.209356792</v>
      </c>
      <c r="BU47" s="26">
        <f t="shared" si="19"/>
        <v>-12903999.608608054</v>
      </c>
      <c r="BV47" s="26">
        <f t="shared" si="19"/>
        <v>-7737147.3085978208</v>
      </c>
      <c r="BW47" s="12"/>
      <c r="BX47" s="12"/>
      <c r="BY47" s="12"/>
      <c r="BZ47" s="12"/>
      <c r="CA47" s="12"/>
      <c r="CB47" s="12"/>
      <c r="CC47" s="24"/>
      <c r="CD47" s="24"/>
      <c r="CE47" s="24"/>
      <c r="CF47" s="24"/>
      <c r="CG47" s="24"/>
      <c r="CH47" s="24"/>
      <c r="CI47" s="24"/>
      <c r="CJ47" s="24"/>
      <c r="CK47" s="32"/>
      <c r="CM47" s="47"/>
      <c r="CN47" s="49">
        <v>0</v>
      </c>
      <c r="CO47" s="14">
        <f t="shared" si="25"/>
        <v>0.47951790558030016</v>
      </c>
      <c r="CP47" s="14">
        <f t="shared" ref="CP47:DM47" si="27">$C$20/($C$21-$C$22*CO47)</f>
        <v>0.62269991964003457</v>
      </c>
      <c r="CQ47" s="14">
        <f t="shared" si="27"/>
        <v>0.68365413138804965</v>
      </c>
      <c r="CR47" s="14">
        <f t="shared" si="27"/>
        <v>0.71338189544565556</v>
      </c>
      <c r="CS47" s="14">
        <f t="shared" si="27"/>
        <v>0.7288385559423749</v>
      </c>
      <c r="CT47" s="14">
        <f t="shared" si="27"/>
        <v>0.73714277157833852</v>
      </c>
      <c r="CU47" s="14">
        <f t="shared" si="27"/>
        <v>0.74168290376483481</v>
      </c>
      <c r="CV47" s="14">
        <f t="shared" si="27"/>
        <v>0.74418883943825731</v>
      </c>
      <c r="CW47" s="14">
        <f t="shared" si="27"/>
        <v>0.74557926227188609</v>
      </c>
      <c r="CX47" s="14">
        <f t="shared" si="27"/>
        <v>0.74635298434150033</v>
      </c>
      <c r="CY47" s="14">
        <f t="shared" si="27"/>
        <v>0.74678422966310576</v>
      </c>
      <c r="CZ47" s="14">
        <f t="shared" si="27"/>
        <v>0.7470248069144555</v>
      </c>
      <c r="DA47" s="14">
        <f t="shared" si="27"/>
        <v>0.74715908423415356</v>
      </c>
      <c r="DB47" s="14">
        <f t="shared" si="27"/>
        <v>0.7472340516255952</v>
      </c>
      <c r="DC47" s="14">
        <f t="shared" si="27"/>
        <v>0.74727591266789473</v>
      </c>
      <c r="DD47" s="14">
        <f t="shared" si="27"/>
        <v>0.74729928949639013</v>
      </c>
      <c r="DE47" s="14">
        <f t="shared" si="27"/>
        <v>0.74731234465992313</v>
      </c>
      <c r="DF47" s="14">
        <f t="shared" si="27"/>
        <v>0.74731963572317806</v>
      </c>
      <c r="DG47" s="14">
        <f t="shared" si="27"/>
        <v>0.74732370770676959</v>
      </c>
      <c r="DH47" s="14">
        <f t="shared" si="27"/>
        <v>0.74732598188689847</v>
      </c>
      <c r="DI47" s="14">
        <f t="shared" si="27"/>
        <v>0.74732725200984262</v>
      </c>
      <c r="DJ47" s="14">
        <f t="shared" si="27"/>
        <v>0.74732796137166757</v>
      </c>
      <c r="DK47" s="14">
        <f t="shared" si="27"/>
        <v>0.74732835754980542</v>
      </c>
      <c r="DL47" s="14">
        <f t="shared" si="27"/>
        <v>0.74732857881523174</v>
      </c>
      <c r="DM47" s="14">
        <f t="shared" si="27"/>
        <v>0.74732870239199378</v>
      </c>
      <c r="DN47" s="12"/>
      <c r="DO47" s="12"/>
      <c r="DP47" s="12"/>
      <c r="DQ47" s="12"/>
      <c r="DR47" s="12"/>
      <c r="DS47" s="12"/>
      <c r="DT47" s="24"/>
      <c r="DU47" s="24"/>
      <c r="DV47" s="24"/>
      <c r="DW47" s="24"/>
      <c r="DX47" s="24"/>
      <c r="DY47" s="24"/>
      <c r="DZ47" s="24"/>
      <c r="EA47" s="24"/>
      <c r="EB47" s="32"/>
      <c r="ED47" s="47"/>
      <c r="EE47" s="26">
        <v>350</v>
      </c>
      <c r="EF47" s="14">
        <f t="shared" si="24"/>
        <v>181.90661172465533</v>
      </c>
      <c r="EG47" s="14">
        <f t="shared" si="21"/>
        <v>130.98362370758014</v>
      </c>
      <c r="EH47" s="14">
        <f t="shared" si="21"/>
        <v>108.3487667257648</v>
      </c>
      <c r="EI47" s="14">
        <f t="shared" si="21"/>
        <v>96.222576694816141</v>
      </c>
      <c r="EJ47" s="14">
        <f t="shared" si="21"/>
        <v>88.744621214631877</v>
      </c>
      <c r="EK47" s="14">
        <f t="shared" si="21"/>
        <v>83.491165804267183</v>
      </c>
      <c r="EL47" s="14">
        <f t="shared" si="21"/>
        <v>79.333128559403846</v>
      </c>
      <c r="EM47" s="14">
        <f t="shared" si="21"/>
        <v>75.709670374919014</v>
      </c>
      <c r="EN47" s="14">
        <f t="shared" si="21"/>
        <v>72.332610273195911</v>
      </c>
      <c r="EO47" s="14">
        <f t="shared" si="21"/>
        <v>69.051451105809093</v>
      </c>
      <c r="EP47" s="14">
        <f t="shared" si="21"/>
        <v>65.787237252984866</v>
      </c>
      <c r="EQ47" s="14">
        <f t="shared" si="21"/>
        <v>62.49878343330024</v>
      </c>
      <c r="ER47" s="14">
        <f t="shared" si="21"/>
        <v>59.165043927456026</v>
      </c>
      <c r="ES47" s="14">
        <f t="shared" si="21"/>
        <v>55.775814353188899</v>
      </c>
      <c r="ET47" s="14">
        <f t="shared" si="21"/>
        <v>52.231444424024659</v>
      </c>
      <c r="EU47" s="14">
        <f t="shared" si="21"/>
        <v>48.645865427528712</v>
      </c>
      <c r="EV47" s="14">
        <f t="shared" si="21"/>
        <v>45.074510565564459</v>
      </c>
      <c r="EW47" s="14">
        <f t="shared" si="21"/>
        <v>41.517368300012819</v>
      </c>
      <c r="EX47" s="14">
        <f t="shared" si="21"/>
        <v>37.971718455048112</v>
      </c>
      <c r="EY47" s="14">
        <f t="shared" si="21"/>
        <v>34.432394283672593</v>
      </c>
      <c r="EZ47" s="14">
        <f t="shared" si="21"/>
        <v>30.89203327909302</v>
      </c>
      <c r="FA47" s="14">
        <f t="shared" si="21"/>
        <v>27.341283940238696</v>
      </c>
      <c r="FB47" s="14">
        <f t="shared" si="21"/>
        <v>23.768955511796793</v>
      </c>
      <c r="FC47" s="14">
        <f t="shared" si="21"/>
        <v>20.162107227263359</v>
      </c>
      <c r="FD47" s="14">
        <f t="shared" si="21"/>
        <v>16.506077714810633</v>
      </c>
      <c r="FE47" s="12"/>
      <c r="FF47" s="12"/>
      <c r="FG47" s="12"/>
      <c r="FH47" s="12"/>
      <c r="FI47" s="12"/>
      <c r="FJ47" s="12"/>
      <c r="FK47" s="24"/>
      <c r="FL47" s="24"/>
      <c r="FM47" s="24"/>
      <c r="FN47" s="24"/>
      <c r="FO47" s="24"/>
      <c r="FP47" s="24"/>
      <c r="FQ47" s="24"/>
      <c r="FR47" s="24"/>
      <c r="FS47" s="32"/>
    </row>
    <row r="48" spans="2:175" x14ac:dyDescent="0.25">
      <c r="E48" s="46"/>
      <c r="F48" s="26">
        <v>350</v>
      </c>
      <c r="G48" s="14">
        <f t="shared" si="4"/>
        <v>339.21518472867513</v>
      </c>
      <c r="H48" s="14">
        <f t="shared" si="5"/>
        <v>328.17008093953353</v>
      </c>
      <c r="I48" s="14">
        <f t="shared" si="6"/>
        <v>316.85900924996963</v>
      </c>
      <c r="J48" s="14">
        <f t="shared" si="7"/>
        <v>305.27883809850562</v>
      </c>
      <c r="K48" s="14">
        <f t="shared" si="8"/>
        <v>293.42842685329117</v>
      </c>
      <c r="L48" s="14">
        <f t="shared" si="9"/>
        <v>281.30826844609533</v>
      </c>
      <c r="M48" s="14">
        <f t="shared" si="10"/>
        <v>268.92029074651816</v>
      </c>
      <c r="N48" s="14">
        <f t="shared" si="11"/>
        <v>256.26778708551984</v>
      </c>
      <c r="O48" s="14">
        <f t="shared" si="12"/>
        <v>243.35545513734729</v>
      </c>
      <c r="P48" s="14">
        <f t="shared" si="13"/>
        <v>230.18953034590714</v>
      </c>
      <c r="Q48" s="14">
        <f t="shared" si="14"/>
        <v>216.7780056748164</v>
      </c>
      <c r="R48" s="14">
        <f t="shared" si="15"/>
        <v>203.13093400453445</v>
      </c>
      <c r="S48" s="51">
        <f t="shared" si="16"/>
        <v>189.2608132460295</v>
      </c>
      <c r="T48" s="51">
        <f t="shared" si="17"/>
        <v>175.1830573699155</v>
      </c>
      <c r="U48" s="51">
        <f t="shared" si="18"/>
        <v>160.91655918474157</v>
      </c>
      <c r="V48" s="51">
        <f t="shared" si="18"/>
        <v>146.6710448727149</v>
      </c>
      <c r="W48" s="51">
        <f t="shared" si="18"/>
        <v>132.46732502004573</v>
      </c>
      <c r="X48" s="51">
        <f t="shared" si="18"/>
        <v>118.27782884266853</v>
      </c>
      <c r="Y48" s="51">
        <f t="shared" si="18"/>
        <v>104.06750416633092</v>
      </c>
      <c r="Z48" s="51">
        <f t="shared" si="18"/>
        <v>89.795107831154795</v>
      </c>
      <c r="AA48" s="51">
        <f t="shared" si="18"/>
        <v>75.414236810603413</v>
      </c>
      <c r="AB48" s="51">
        <f t="shared" si="18"/>
        <v>60.874182491697383</v>
      </c>
      <c r="AC48" s="51">
        <f t="shared" si="18"/>
        <v>46.120688055234908</v>
      </c>
      <c r="AD48" s="51">
        <f t="shared" si="18"/>
        <v>31.09669118456555</v>
      </c>
      <c r="AE48" s="51">
        <f t="shared" si="18"/>
        <v>15.743141993926308</v>
      </c>
      <c r="AF48" s="12"/>
      <c r="AG48" s="12"/>
      <c r="AH48" s="12"/>
      <c r="AI48" s="12"/>
      <c r="AJ48" s="12"/>
      <c r="AK48" s="12"/>
      <c r="AL48" s="24"/>
      <c r="AM48" s="24"/>
      <c r="AN48" s="24"/>
      <c r="AO48" s="24"/>
      <c r="AP48" s="24"/>
      <c r="AQ48" s="24"/>
      <c r="AR48" s="24"/>
      <c r="AS48" s="24"/>
      <c r="AT48" s="32"/>
      <c r="AV48" s="47"/>
      <c r="AW48" s="26">
        <f t="shared" si="22"/>
        <v>-120197000</v>
      </c>
      <c r="AX48" s="26">
        <f t="shared" si="19"/>
        <v>-117539638.58114466</v>
      </c>
      <c r="AY48" s="26">
        <f t="shared" si="19"/>
        <v>-113769360.15595241</v>
      </c>
      <c r="AZ48" s="26">
        <f t="shared" si="19"/>
        <v>-109897500.79346299</v>
      </c>
      <c r="BA48" s="26">
        <f t="shared" si="19"/>
        <v>-105925223.75666557</v>
      </c>
      <c r="BB48" s="26">
        <f t="shared" si="19"/>
        <v>-101853573.94112231</v>
      </c>
      <c r="BC48" s="26">
        <f t="shared" si="19"/>
        <v>-97683519.105131224</v>
      </c>
      <c r="BD48" s="26">
        <f t="shared" si="19"/>
        <v>-93416000.613082156</v>
      </c>
      <c r="BE48" s="26">
        <f t="shared" si="19"/>
        <v>-89051993.155349821</v>
      </c>
      <c r="BF48" s="26">
        <f t="shared" si="19"/>
        <v>-84592573.633203432</v>
      </c>
      <c r="BG48" s="26">
        <f t="shared" si="19"/>
        <v>-80039000.027586967</v>
      </c>
      <c r="BH48" s="26">
        <f t="shared" si="19"/>
        <v>-75392801.645593867</v>
      </c>
      <c r="BI48" s="26">
        <f t="shared" si="19"/>
        <v>-70655882.690493807</v>
      </c>
      <c r="BJ48" s="26">
        <f t="shared" si="19"/>
        <v>-65830641.6577399</v>
      </c>
      <c r="BK48" s="26">
        <f t="shared" si="19"/>
        <v>-60920109.644397214</v>
      </c>
      <c r="BL48" s="26">
        <f t="shared" si="19"/>
        <v>-55177609.585172191</v>
      </c>
      <c r="BM48" s="26">
        <f t="shared" si="19"/>
        <v>-50201756.503570415</v>
      </c>
      <c r="BN48" s="26">
        <f t="shared" si="19"/>
        <v>-45434749.583710447</v>
      </c>
      <c r="BO48" s="26">
        <f t="shared" si="19"/>
        <v>-40702702.54697001</v>
      </c>
      <c r="BP48" s="26">
        <f t="shared" si="19"/>
        <v>-35988390.349332139</v>
      </c>
      <c r="BQ48" s="26">
        <f t="shared" si="19"/>
        <v>-31273504.166583758</v>
      </c>
      <c r="BR48" s="26">
        <f t="shared" si="19"/>
        <v>-26538674.064883158</v>
      </c>
      <c r="BS48" s="26">
        <f t="shared" si="19"/>
        <v>-21763441.023875572</v>
      </c>
      <c r="BT48" s="26">
        <f t="shared" si="19"/>
        <v>-16926186.477440398</v>
      </c>
      <c r="BU48" s="26">
        <f t="shared" si="19"/>
        <v>-12004026.012882456</v>
      </c>
      <c r="BV48" s="26">
        <f t="shared" si="19"/>
        <v>-6972672.8927681921</v>
      </c>
      <c r="BW48" s="12"/>
      <c r="BX48" s="12"/>
      <c r="BY48" s="12"/>
      <c r="BZ48" s="12"/>
      <c r="CA48" s="12"/>
      <c r="CB48" s="12"/>
      <c r="CC48" s="24"/>
      <c r="CD48" s="24"/>
      <c r="CE48" s="24"/>
      <c r="CF48" s="24"/>
      <c r="CG48" s="24"/>
      <c r="CH48" s="24"/>
      <c r="CI48" s="24"/>
      <c r="CJ48" s="24"/>
      <c r="CK48" s="32"/>
      <c r="CM48" s="47"/>
      <c r="CN48" s="49">
        <v>0</v>
      </c>
      <c r="CO48" s="14">
        <f t="shared" si="25"/>
        <v>0.47951790558030016</v>
      </c>
      <c r="CP48" s="14">
        <f t="shared" ref="CP48:DM48" si="28">$C$20/($C$21-$C$22*CO48)</f>
        <v>0.62269991964003457</v>
      </c>
      <c r="CQ48" s="14">
        <f t="shared" si="28"/>
        <v>0.68365413138804965</v>
      </c>
      <c r="CR48" s="14">
        <f t="shared" si="28"/>
        <v>0.71338189544565556</v>
      </c>
      <c r="CS48" s="14">
        <f t="shared" si="28"/>
        <v>0.7288385559423749</v>
      </c>
      <c r="CT48" s="14">
        <f t="shared" si="28"/>
        <v>0.73714277157833852</v>
      </c>
      <c r="CU48" s="14">
        <f t="shared" si="28"/>
        <v>0.74168290376483481</v>
      </c>
      <c r="CV48" s="14">
        <f t="shared" si="28"/>
        <v>0.74418883943825731</v>
      </c>
      <c r="CW48" s="14">
        <f t="shared" si="28"/>
        <v>0.74557926227188609</v>
      </c>
      <c r="CX48" s="14">
        <f t="shared" si="28"/>
        <v>0.74635298434150033</v>
      </c>
      <c r="CY48" s="14">
        <f t="shared" si="28"/>
        <v>0.74678422966310576</v>
      </c>
      <c r="CZ48" s="14">
        <f t="shared" si="28"/>
        <v>0.7470248069144555</v>
      </c>
      <c r="DA48" s="14">
        <f t="shared" si="28"/>
        <v>0.74715908423415356</v>
      </c>
      <c r="DB48" s="14">
        <f t="shared" si="28"/>
        <v>0.7472340516255952</v>
      </c>
      <c r="DC48" s="14">
        <f t="shared" si="28"/>
        <v>0.74727591266789473</v>
      </c>
      <c r="DD48" s="14">
        <f t="shared" si="28"/>
        <v>0.74729928949639013</v>
      </c>
      <c r="DE48" s="14">
        <f t="shared" si="28"/>
        <v>0.74731234465992313</v>
      </c>
      <c r="DF48" s="14">
        <f t="shared" si="28"/>
        <v>0.74731963572317806</v>
      </c>
      <c r="DG48" s="14">
        <f t="shared" si="28"/>
        <v>0.74732370770676959</v>
      </c>
      <c r="DH48" s="14">
        <f t="shared" si="28"/>
        <v>0.74732598188689847</v>
      </c>
      <c r="DI48" s="14">
        <f t="shared" si="28"/>
        <v>0.74732725200984262</v>
      </c>
      <c r="DJ48" s="14">
        <f t="shared" si="28"/>
        <v>0.74732796137166757</v>
      </c>
      <c r="DK48" s="14">
        <f t="shared" si="28"/>
        <v>0.74732835754980542</v>
      </c>
      <c r="DL48" s="14">
        <f t="shared" si="28"/>
        <v>0.74732857881523174</v>
      </c>
      <c r="DM48" s="14">
        <f t="shared" si="28"/>
        <v>0.74732870239199378</v>
      </c>
      <c r="DN48" s="12"/>
      <c r="DO48" s="12"/>
      <c r="DP48" s="12"/>
      <c r="DQ48" s="12"/>
      <c r="DR48" s="12"/>
      <c r="DS48" s="12"/>
      <c r="DT48" s="24"/>
      <c r="DU48" s="24"/>
      <c r="DV48" s="24"/>
      <c r="DW48" s="24"/>
      <c r="DX48" s="24"/>
      <c r="DY48" s="24"/>
      <c r="DZ48" s="24"/>
      <c r="EA48" s="24"/>
      <c r="EB48" s="32"/>
      <c r="ED48" s="47"/>
      <c r="EE48" s="26">
        <v>350</v>
      </c>
      <c r="EF48" s="14">
        <f t="shared" si="24"/>
        <v>181.8517548424324</v>
      </c>
      <c r="EG48" s="14">
        <f t="shared" si="21"/>
        <v>130.86200134235648</v>
      </c>
      <c r="EH48" s="14">
        <f t="shared" si="21"/>
        <v>108.15387035858275</v>
      </c>
      <c r="EI48" s="14">
        <f t="shared" si="21"/>
        <v>95.952310772267893</v>
      </c>
      <c r="EJ48" s="14">
        <f t="shared" si="21"/>
        <v>88.400114704389097</v>
      </c>
      <c r="EK48" s="14">
        <f t="shared" si="21"/>
        <v>83.075619991554319</v>
      </c>
      <c r="EL48" s="14">
        <f t="shared" si="21"/>
        <v>78.850854279541352</v>
      </c>
      <c r="EM48" s="14">
        <f t="shared" si="21"/>
        <v>75.165373355888477</v>
      </c>
      <c r="EN48" s="14">
        <f t="shared" si="21"/>
        <v>71.730914919333912</v>
      </c>
      <c r="EO48" s="14">
        <f t="shared" si="21"/>
        <v>68.396618870909251</v>
      </c>
      <c r="EP48" s="14">
        <f t="shared" si="21"/>
        <v>65.083027603492951</v>
      </c>
      <c r="EQ48" s="14">
        <f t="shared" si="21"/>
        <v>61.748411532946442</v>
      </c>
      <c r="ER48" s="14">
        <f t="shared" si="21"/>
        <v>58.371200528184247</v>
      </c>
      <c r="ES48" s="14">
        <f t="shared" si="21"/>
        <v>54.940724876651167</v>
      </c>
      <c r="ET48" s="14">
        <f t="shared" si="21"/>
        <v>51.312820265529815</v>
      </c>
      <c r="EU48" s="14">
        <f t="shared" si="21"/>
        <v>47.678307003747328</v>
      </c>
      <c r="EV48" s="14">
        <f t="shared" si="21"/>
        <v>44.076843426346031</v>
      </c>
      <c r="EW48" s="14">
        <f t="shared" si="21"/>
        <v>40.506139538465789</v>
      </c>
      <c r="EX48" s="14">
        <f t="shared" si="21"/>
        <v>36.961491248023137</v>
      </c>
      <c r="EY48" s="14">
        <f t="shared" si="21"/>
        <v>33.436089258419514</v>
      </c>
      <c r="EZ48" s="14">
        <f t="shared" si="21"/>
        <v>29.921301290737535</v>
      </c>
      <c r="FA48" s="14">
        <f t="shared" si="21"/>
        <v>26.406902710320061</v>
      </c>
      <c r="FB48" s="14">
        <f t="shared" si="21"/>
        <v>22.881248907040018</v>
      </c>
      <c r="FC48" s="14">
        <f t="shared" si="21"/>
        <v>19.331391252158209</v>
      </c>
      <c r="FD48" s="14">
        <f t="shared" si="21"/>
        <v>15.743141993926308</v>
      </c>
      <c r="FE48" s="12"/>
      <c r="FF48" s="12"/>
      <c r="FG48" s="12"/>
      <c r="FH48" s="12"/>
      <c r="FI48" s="12"/>
      <c r="FJ48" s="12"/>
      <c r="FK48" s="24"/>
      <c r="FL48" s="24"/>
      <c r="FM48" s="24"/>
      <c r="FN48" s="24"/>
      <c r="FO48" s="24"/>
      <c r="FP48" s="24"/>
      <c r="FQ48" s="24"/>
      <c r="FR48" s="24"/>
      <c r="FS48" s="32"/>
    </row>
    <row r="49" spans="5:175" x14ac:dyDescent="0.25">
      <c r="E49" s="46"/>
      <c r="F49" s="26">
        <v>350</v>
      </c>
      <c r="G49" s="14">
        <f t="shared" si="4"/>
        <v>338.76673613982416</v>
      </c>
      <c r="H49" s="14">
        <f t="shared" si="5"/>
        <v>327.32703793755149</v>
      </c>
      <c r="I49" s="14">
        <f t="shared" si="6"/>
        <v>315.66708909082945</v>
      </c>
      <c r="J49" s="14">
        <f t="shared" si="7"/>
        <v>303.77668699821015</v>
      </c>
      <c r="K49" s="14">
        <f t="shared" si="8"/>
        <v>291.64858852678907</v>
      </c>
      <c r="L49" s="14">
        <f t="shared" si="9"/>
        <v>279.27806403462387</v>
      </c>
      <c r="M49" s="14">
        <f t="shared" si="10"/>
        <v>266.66262349614607</v>
      </c>
      <c r="N49" s="14">
        <f t="shared" si="11"/>
        <v>253.80188883359136</v>
      </c>
      <c r="O49" s="14">
        <f t="shared" si="12"/>
        <v>240.69759499131584</v>
      </c>
      <c r="P49" s="14">
        <f t="shared" si="13"/>
        <v>227.35370937385744</v>
      </c>
      <c r="Q49" s="14">
        <f t="shared" si="14"/>
        <v>213.77666538375379</v>
      </c>
      <c r="R49" s="14">
        <f t="shared" si="15"/>
        <v>199.97571125235845</v>
      </c>
      <c r="S49" s="51">
        <f t="shared" si="16"/>
        <v>185.96338041238664</v>
      </c>
      <c r="T49" s="51">
        <f t="shared" si="17"/>
        <v>171.75609452759068</v>
      </c>
      <c r="U49" s="51">
        <f t="shared" si="18"/>
        <v>157.37491515047356</v>
      </c>
      <c r="V49" s="51">
        <f t="shared" si="18"/>
        <v>143.1081648659227</v>
      </c>
      <c r="W49" s="51">
        <f t="shared" si="18"/>
        <v>128.95852626620234</v>
      </c>
      <c r="X49" s="51">
        <f t="shared" si="18"/>
        <v>114.8920257485242</v>
      </c>
      <c r="Y49" s="51">
        <f t="shared" si="18"/>
        <v>100.86914923957566</v>
      </c>
      <c r="Z49" s="51">
        <f t="shared" si="18"/>
        <v>86.846234376888219</v>
      </c>
      <c r="AA49" s="51">
        <f t="shared" si="18"/>
        <v>72.776594802762162</v>
      </c>
      <c r="AB49" s="51">
        <f t="shared" si="18"/>
        <v>58.611478399817216</v>
      </c>
      <c r="AC49" s="51">
        <f t="shared" si="18"/>
        <v>44.30095428087165</v>
      </c>
      <c r="AD49" s="51">
        <f t="shared" si="18"/>
        <v>29.794822208607087</v>
      </c>
      <c r="AE49" s="51">
        <f t="shared" si="18"/>
        <v>15.043643013954195</v>
      </c>
      <c r="AF49" s="12"/>
      <c r="AG49" s="12"/>
      <c r="AH49" s="12"/>
      <c r="AI49" s="12"/>
      <c r="AJ49" s="12"/>
      <c r="AK49" s="12"/>
      <c r="AL49" s="24"/>
      <c r="AM49" s="24"/>
      <c r="AN49" s="24"/>
      <c r="AO49" s="24"/>
      <c r="AP49" s="24"/>
      <c r="AQ49" s="24"/>
      <c r="AR49" s="24"/>
      <c r="AS49" s="24"/>
      <c r="AT49" s="32"/>
      <c r="AV49" s="47"/>
      <c r="AW49" s="26">
        <f t="shared" si="22"/>
        <v>-120197000</v>
      </c>
      <c r="AX49" s="26">
        <f t="shared" si="19"/>
        <v>-117169138.5803678</v>
      </c>
      <c r="AY49" s="26">
        <f t="shared" si="19"/>
        <v>-113296058.95920038</v>
      </c>
      <c r="AZ49" s="26">
        <f t="shared" si="19"/>
        <v>-109332813.78407976</v>
      </c>
      <c r="BA49" s="26">
        <f t="shared" si="19"/>
        <v>-105278529.29170831</v>
      </c>
      <c r="BB49" s="26">
        <f t="shared" si="19"/>
        <v>-101132510.87526129</v>
      </c>
      <c r="BC49" s="26">
        <f t="shared" si="19"/>
        <v>-96894235.256947026</v>
      </c>
      <c r="BD49" s="26">
        <f t="shared" si="19"/>
        <v>-92563360.539835751</v>
      </c>
      <c r="BE49" s="26">
        <f t="shared" si="19"/>
        <v>-88139752.565709591</v>
      </c>
      <c r="BF49" s="26">
        <f t="shared" si="19"/>
        <v>-83623527.008152872</v>
      </c>
      <c r="BG49" s="26">
        <f t="shared" si="19"/>
        <v>-79015107.531203896</v>
      </c>
      <c r="BH49" s="26">
        <f t="shared" si="19"/>
        <v>-74315301.194081426</v>
      </c>
      <c r="BI49" s="26">
        <f t="shared" si="19"/>
        <v>-69525393.12676236</v>
      </c>
      <c r="BJ49" s="26">
        <f t="shared" si="19"/>
        <v>-64647263.381414965</v>
      </c>
      <c r="BK49" s="26">
        <f t="shared" si="19"/>
        <v>-59683529.821796075</v>
      </c>
      <c r="BL49" s="26">
        <f t="shared" si="19"/>
        <v>-53585688.40885935</v>
      </c>
      <c r="BM49" s="26">
        <f t="shared" si="19"/>
        <v>-48675417.005236596</v>
      </c>
      <c r="BN49" s="26">
        <f t="shared" si="19"/>
        <v>-43952722.000529446</v>
      </c>
      <c r="BO49" s="26">
        <f t="shared" si="19"/>
        <v>-39280850.96746514</v>
      </c>
      <c r="BP49" s="26">
        <f t="shared" si="19"/>
        <v>-34640637.413885437</v>
      </c>
      <c r="BQ49" s="26">
        <f t="shared" si="19"/>
        <v>-30012567.149694227</v>
      </c>
      <c r="BR49" s="26">
        <f t="shared" si="19"/>
        <v>-25376755.039016455</v>
      </c>
      <c r="BS49" s="26">
        <f t="shared" si="19"/>
        <v>-20712892.930387732</v>
      </c>
      <c r="BT49" s="26">
        <f t="shared" si="19"/>
        <v>-16000177.691479325</v>
      </c>
      <c r="BU49" s="26">
        <f t="shared" si="19"/>
        <v>-11217227.274880918</v>
      </c>
      <c r="BV49" s="26">
        <f t="shared" si="19"/>
        <v>-6341992.437443411</v>
      </c>
      <c r="BW49" s="12"/>
      <c r="BX49" s="12"/>
      <c r="BY49" s="12"/>
      <c r="BZ49" s="12"/>
      <c r="CA49" s="12"/>
      <c r="CB49" s="12"/>
      <c r="CC49" s="24"/>
      <c r="CD49" s="24"/>
      <c r="CE49" s="24"/>
      <c r="CF49" s="24"/>
      <c r="CG49" s="24"/>
      <c r="CH49" s="24"/>
      <c r="CI49" s="24"/>
      <c r="CJ49" s="24"/>
      <c r="CK49" s="32"/>
      <c r="CM49" s="47"/>
      <c r="CN49" s="49">
        <v>0</v>
      </c>
      <c r="CO49" s="14">
        <f t="shared" si="25"/>
        <v>0.47951790558030016</v>
      </c>
      <c r="CP49" s="14">
        <f t="shared" ref="CP49:DM49" si="29">$C$20/($C$21-$C$22*CO49)</f>
        <v>0.62269991964003457</v>
      </c>
      <c r="CQ49" s="14">
        <f t="shared" si="29"/>
        <v>0.68365413138804965</v>
      </c>
      <c r="CR49" s="14">
        <f t="shared" si="29"/>
        <v>0.71338189544565556</v>
      </c>
      <c r="CS49" s="14">
        <f t="shared" si="29"/>
        <v>0.7288385559423749</v>
      </c>
      <c r="CT49" s="14">
        <f t="shared" si="29"/>
        <v>0.73714277157833852</v>
      </c>
      <c r="CU49" s="14">
        <f t="shared" si="29"/>
        <v>0.74168290376483481</v>
      </c>
      <c r="CV49" s="14">
        <f t="shared" si="29"/>
        <v>0.74418883943825731</v>
      </c>
      <c r="CW49" s="14">
        <f t="shared" si="29"/>
        <v>0.74557926227188609</v>
      </c>
      <c r="CX49" s="14">
        <f t="shared" si="29"/>
        <v>0.74635298434150033</v>
      </c>
      <c r="CY49" s="14">
        <f t="shared" si="29"/>
        <v>0.74678422966310576</v>
      </c>
      <c r="CZ49" s="14">
        <f t="shared" si="29"/>
        <v>0.7470248069144555</v>
      </c>
      <c r="DA49" s="14">
        <f t="shared" si="29"/>
        <v>0.74715908423415356</v>
      </c>
      <c r="DB49" s="14">
        <f t="shared" si="29"/>
        <v>0.7472340516255952</v>
      </c>
      <c r="DC49" s="14">
        <f t="shared" si="29"/>
        <v>0.74727591266789473</v>
      </c>
      <c r="DD49" s="14">
        <f t="shared" si="29"/>
        <v>0.74729928949639013</v>
      </c>
      <c r="DE49" s="14">
        <f t="shared" si="29"/>
        <v>0.74731234465992313</v>
      </c>
      <c r="DF49" s="14">
        <f t="shared" si="29"/>
        <v>0.74731963572317806</v>
      </c>
      <c r="DG49" s="14">
        <f t="shared" si="29"/>
        <v>0.74732370770676959</v>
      </c>
      <c r="DH49" s="14">
        <f t="shared" si="29"/>
        <v>0.74732598188689847</v>
      </c>
      <c r="DI49" s="14">
        <f t="shared" si="29"/>
        <v>0.74732725200984262</v>
      </c>
      <c r="DJ49" s="14">
        <f t="shared" si="29"/>
        <v>0.74732796137166757</v>
      </c>
      <c r="DK49" s="14">
        <f t="shared" si="29"/>
        <v>0.74732835754980542</v>
      </c>
      <c r="DL49" s="14">
        <f t="shared" si="29"/>
        <v>0.74732857881523174</v>
      </c>
      <c r="DM49" s="14">
        <f t="shared" si="29"/>
        <v>0.74732870239199378</v>
      </c>
      <c r="DN49" s="12"/>
      <c r="DO49" s="12"/>
      <c r="DP49" s="12"/>
      <c r="DQ49" s="12"/>
      <c r="DR49" s="12"/>
      <c r="DS49" s="12"/>
      <c r="DT49" s="24"/>
      <c r="DU49" s="24"/>
      <c r="DV49" s="24"/>
      <c r="DW49" s="24"/>
      <c r="DX49" s="24"/>
      <c r="DY49" s="24"/>
      <c r="DZ49" s="24"/>
      <c r="EA49" s="24"/>
      <c r="EB49" s="32"/>
      <c r="ED49" s="47"/>
      <c r="EE49" s="26">
        <v>350</v>
      </c>
      <c r="EF49" s="14">
        <f t="shared" si="24"/>
        <v>181.80756046820602</v>
      </c>
      <c r="EG49" s="14">
        <f t="shared" si="21"/>
        <v>130.76116692768835</v>
      </c>
      <c r="EH49" s="14">
        <f t="shared" si="21"/>
        <v>107.98890200512869</v>
      </c>
      <c r="EI49" s="14">
        <f t="shared" si="21"/>
        <v>95.719864110919289</v>
      </c>
      <c r="EJ49" s="14">
        <f t="shared" si="21"/>
        <v>88.099967629411722</v>
      </c>
      <c r="EK49" s="14">
        <f t="shared" si="21"/>
        <v>82.709638674323756</v>
      </c>
      <c r="EL49" s="14">
        <f t="shared" si="21"/>
        <v>78.422101605048226</v>
      </c>
      <c r="EM49" s="14">
        <f t="shared" si="21"/>
        <v>74.677424961424308</v>
      </c>
      <c r="EN49" s="14">
        <f t="shared" si="21"/>
        <v>71.187384081578429</v>
      </c>
      <c r="EO49" s="14">
        <f t="shared" si="21"/>
        <v>67.800857182118477</v>
      </c>
      <c r="EP49" s="14">
        <f t="shared" si="21"/>
        <v>64.437957904829631</v>
      </c>
      <c r="EQ49" s="14">
        <f t="shared" si="21"/>
        <v>61.05645290663589</v>
      </c>
      <c r="ER49" s="14">
        <f t="shared" si="21"/>
        <v>57.634254113517279</v>
      </c>
      <c r="ES49" s="14">
        <f t="shared" si="21"/>
        <v>54.160199055468041</v>
      </c>
      <c r="ET49" s="14">
        <f t="shared" si="21"/>
        <v>50.433630640063619</v>
      </c>
      <c r="EU49" s="14">
        <f t="shared" si="21"/>
        <v>46.737549812688137</v>
      </c>
      <c r="EV49" s="14">
        <f t="shared" si="21"/>
        <v>43.098297121344459</v>
      </c>
      <c r="EW49" s="14">
        <f t="shared" si="21"/>
        <v>39.510529883097632</v>
      </c>
      <c r="EX49" s="14">
        <f t="shared" si="21"/>
        <v>35.96689936466845</v>
      </c>
      <c r="EY49" s="14">
        <f t="shared" si="21"/>
        <v>32.458394207529039</v>
      </c>
      <c r="EZ49" s="14">
        <f t="shared" si="21"/>
        <v>28.974639713992509</v>
      </c>
      <c r="FA49" s="14">
        <f t="shared" si="21"/>
        <v>25.504136550273959</v>
      </c>
      <c r="FB49" s="14">
        <f t="shared" si="21"/>
        <v>22.034438736224853</v>
      </c>
      <c r="FC49" s="14">
        <f t="shared" si="21"/>
        <v>18.552277854785007</v>
      </c>
      <c r="FD49" s="14">
        <f t="shared" si="21"/>
        <v>15.043643013954195</v>
      </c>
      <c r="FE49" s="12"/>
      <c r="FF49" s="12"/>
      <c r="FG49" s="12"/>
      <c r="FH49" s="12"/>
      <c r="FI49" s="12"/>
      <c r="FJ49" s="12"/>
      <c r="FK49" s="24"/>
      <c r="FL49" s="24"/>
      <c r="FM49" s="24"/>
      <c r="FN49" s="24"/>
      <c r="FO49" s="24"/>
      <c r="FP49" s="24"/>
      <c r="FQ49" s="24"/>
      <c r="FR49" s="24"/>
      <c r="FS49" s="32"/>
    </row>
    <row r="50" spans="5:175" x14ac:dyDescent="0.25">
      <c r="E50" s="46"/>
      <c r="F50" s="26">
        <v>350</v>
      </c>
      <c r="G50" s="14">
        <f t="shared" si="4"/>
        <v>338.37407261755368</v>
      </c>
      <c r="H50" s="14">
        <f t="shared" si="5"/>
        <v>326.58269542340747</v>
      </c>
      <c r="I50" s="14">
        <f t="shared" si="6"/>
        <v>314.60640107093826</v>
      </c>
      <c r="J50" s="14">
        <f t="shared" si="7"/>
        <v>302.42982344169764</v>
      </c>
      <c r="K50" s="14">
        <f t="shared" si="8"/>
        <v>290.04105313812579</v>
      </c>
      <c r="L50" s="14">
        <f t="shared" si="9"/>
        <v>277.43118749008903</v>
      </c>
      <c r="M50" s="14">
        <f t="shared" si="10"/>
        <v>264.59404769540026</v>
      </c>
      <c r="N50" s="14">
        <f t="shared" si="11"/>
        <v>251.52604433973499</v>
      </c>
      <c r="O50" s="14">
        <f t="shared" si="12"/>
        <v>238.22618005809531</v>
      </c>
      <c r="P50" s="14">
        <f t="shared" si="13"/>
        <v>224.69618487223056</v>
      </c>
      <c r="Q50" s="14">
        <f t="shared" si="14"/>
        <v>210.94078608578542</v>
      </c>
      <c r="R50" s="14">
        <f t="shared" si="15"/>
        <v>196.96812083025793</v>
      </c>
      <c r="S50" s="51">
        <f t="shared" si="16"/>
        <v>182.7903056999138</v>
      </c>
      <c r="T50" s="51">
        <f t="shared" si="17"/>
        <v>168.42418465337087</v>
      </c>
      <c r="U50" s="51">
        <f t="shared" si="18"/>
        <v>153.89228375392565</v>
      </c>
      <c r="V50" s="51">
        <f t="shared" si="18"/>
        <v>139.58307392243961</v>
      </c>
      <c r="W50" s="51">
        <f t="shared" si="18"/>
        <v>125.47952584079084</v>
      </c>
      <c r="X50" s="51">
        <f t="shared" si="18"/>
        <v>111.53767816387612</v>
      </c>
      <c r="Y50" s="51">
        <f t="shared" si="18"/>
        <v>97.710320886005178</v>
      </c>
      <c r="Z50" s="51">
        <f t="shared" si="18"/>
        <v>83.948331953604878</v>
      </c>
      <c r="AA50" s="51">
        <f t="shared" si="18"/>
        <v>70.201731037697144</v>
      </c>
      <c r="AB50" s="51">
        <f t="shared" si="18"/>
        <v>56.420566392252908</v>
      </c>
      <c r="AC50" s="51">
        <f t="shared" si="18"/>
        <v>42.555737606435187</v>
      </c>
      <c r="AD50" s="51">
        <f t="shared" si="18"/>
        <v>28.559850815631126</v>
      </c>
      <c r="AE50" s="51">
        <f t="shared" si="18"/>
        <v>14.388203165984789</v>
      </c>
      <c r="AF50" s="12"/>
      <c r="AG50" s="12"/>
      <c r="AH50" s="12"/>
      <c r="AI50" s="12"/>
      <c r="AJ50" s="12"/>
      <c r="AK50" s="24"/>
      <c r="AL50" s="24"/>
      <c r="AM50" s="24"/>
      <c r="AN50" s="24"/>
      <c r="AO50" s="24"/>
      <c r="AP50" s="24"/>
      <c r="AQ50" s="24"/>
      <c r="AR50" s="24"/>
      <c r="AS50" s="24"/>
      <c r="AT50" s="32"/>
      <c r="AV50" s="47"/>
      <c r="AW50" s="26">
        <f t="shared" si="22"/>
        <v>-120197000</v>
      </c>
      <c r="AX50" s="26">
        <f t="shared" si="19"/>
        <v>-116869532.26135388</v>
      </c>
      <c r="AY50" s="26">
        <f t="shared" si="19"/>
        <v>-112898396.23876517</v>
      </c>
      <c r="AZ50" s="26">
        <f t="shared" si="19"/>
        <v>-108847269.02840261</v>
      </c>
      <c r="BA50" s="26">
        <f t="shared" si="19"/>
        <v>-104713464.51715916</v>
      </c>
      <c r="BB50" s="26">
        <f t="shared" si="19"/>
        <v>-100494701.75344425</v>
      </c>
      <c r="BC50" s="26">
        <f t="shared" si="19"/>
        <v>-96189060.477387503</v>
      </c>
      <c r="BD50" s="26">
        <f t="shared" si="19"/>
        <v>-91794959.374679849</v>
      </c>
      <c r="BE50" s="26">
        <f t="shared" si="19"/>
        <v>-87311155.069569081</v>
      </c>
      <c r="BF50" s="26">
        <f t="shared" si="19"/>
        <v>-82736760.990535647</v>
      </c>
      <c r="BG50" s="26">
        <f t="shared" si="19"/>
        <v>-78071286.283154681</v>
      </c>
      <c r="BH50" s="26">
        <f t="shared" si="19"/>
        <v>-73314695.963291392</v>
      </c>
      <c r="BI50" s="26">
        <f t="shared" si="19"/>
        <v>-68467494.552290261</v>
      </c>
      <c r="BJ50" s="26">
        <f t="shared" si="19"/>
        <v>-63530836.566583514</v>
      </c>
      <c r="BK50" s="26">
        <f t="shared" si="19"/>
        <v>-58506668.502327845</v>
      </c>
      <c r="BL50" s="26">
        <f t="shared" si="19"/>
        <v>-51954469.993577406</v>
      </c>
      <c r="BM50" s="26">
        <f t="shared" si="19"/>
        <v>-47108859.012098297</v>
      </c>
      <c r="BN50" s="26">
        <f t="shared" si="19"/>
        <v>-42442143.137213498</v>
      </c>
      <c r="BO50" s="26">
        <f t="shared" si="19"/>
        <v>-37844018.030882344</v>
      </c>
      <c r="BP50" s="26">
        <f t="shared" si="19"/>
        <v>-33292897.649879746</v>
      </c>
      <c r="BQ50" s="26">
        <f t="shared" si="19"/>
        <v>-28767676.333206959</v>
      </c>
      <c r="BR50" s="26">
        <f t="shared" si="19"/>
        <v>-24247624.665702734</v>
      </c>
      <c r="BS50" s="26">
        <f t="shared" si="19"/>
        <v>-19712280.754728831</v>
      </c>
      <c r="BT50" s="26">
        <f t="shared" si="19"/>
        <v>-15141344.588847067</v>
      </c>
      <c r="BU50" s="26">
        <f t="shared" si="19"/>
        <v>-10514582.619649978</v>
      </c>
      <c r="BV50" s="26">
        <f t="shared" si="19"/>
        <v>-5811749.9069430847</v>
      </c>
      <c r="BW50" s="12"/>
      <c r="BX50" s="12"/>
      <c r="BY50" s="12"/>
      <c r="BZ50" s="12"/>
      <c r="CA50" s="12"/>
      <c r="CB50" s="24"/>
      <c r="CC50" s="24"/>
      <c r="CD50" s="24"/>
      <c r="CE50" s="24"/>
      <c r="CF50" s="24"/>
      <c r="CG50" s="24"/>
      <c r="CH50" s="24"/>
      <c r="CI50" s="24"/>
      <c r="CJ50" s="24"/>
      <c r="CK50" s="32"/>
      <c r="CM50" s="47"/>
      <c r="CN50" s="49">
        <v>0</v>
      </c>
      <c r="CO50" s="14">
        <f t="shared" si="25"/>
        <v>0.47951790558030016</v>
      </c>
      <c r="CP50" s="14">
        <f t="shared" ref="CP50:DM50" si="30">$C$20/($C$21-$C$22*CO50)</f>
        <v>0.62269991964003457</v>
      </c>
      <c r="CQ50" s="14">
        <f t="shared" si="30"/>
        <v>0.68365413138804965</v>
      </c>
      <c r="CR50" s="14">
        <f t="shared" si="30"/>
        <v>0.71338189544565556</v>
      </c>
      <c r="CS50" s="14">
        <f t="shared" si="30"/>
        <v>0.7288385559423749</v>
      </c>
      <c r="CT50" s="14">
        <f t="shared" si="30"/>
        <v>0.73714277157833852</v>
      </c>
      <c r="CU50" s="14">
        <f t="shared" si="30"/>
        <v>0.74168290376483481</v>
      </c>
      <c r="CV50" s="14">
        <f t="shared" si="30"/>
        <v>0.74418883943825731</v>
      </c>
      <c r="CW50" s="14">
        <f t="shared" si="30"/>
        <v>0.74557926227188609</v>
      </c>
      <c r="CX50" s="14">
        <f t="shared" si="30"/>
        <v>0.74635298434150033</v>
      </c>
      <c r="CY50" s="14">
        <f t="shared" si="30"/>
        <v>0.74678422966310576</v>
      </c>
      <c r="CZ50" s="14">
        <f t="shared" si="30"/>
        <v>0.7470248069144555</v>
      </c>
      <c r="DA50" s="14">
        <f t="shared" si="30"/>
        <v>0.74715908423415356</v>
      </c>
      <c r="DB50" s="14">
        <f t="shared" si="30"/>
        <v>0.7472340516255952</v>
      </c>
      <c r="DC50" s="14">
        <f t="shared" si="30"/>
        <v>0.74727591266789473</v>
      </c>
      <c r="DD50" s="14">
        <f t="shared" si="30"/>
        <v>0.74729928949639013</v>
      </c>
      <c r="DE50" s="14">
        <f t="shared" si="30"/>
        <v>0.74731234465992313</v>
      </c>
      <c r="DF50" s="14">
        <f t="shared" si="30"/>
        <v>0.74731963572317806</v>
      </c>
      <c r="DG50" s="14">
        <f t="shared" si="30"/>
        <v>0.74732370770676959</v>
      </c>
      <c r="DH50" s="14">
        <f t="shared" si="30"/>
        <v>0.74732598188689847</v>
      </c>
      <c r="DI50" s="14">
        <f t="shared" si="30"/>
        <v>0.74732725200984262</v>
      </c>
      <c r="DJ50" s="14">
        <f t="shared" si="30"/>
        <v>0.74732796137166757</v>
      </c>
      <c r="DK50" s="14">
        <f t="shared" si="30"/>
        <v>0.74732835754980542</v>
      </c>
      <c r="DL50" s="14">
        <f t="shared" si="30"/>
        <v>0.74732857881523174</v>
      </c>
      <c r="DM50" s="14">
        <f t="shared" si="30"/>
        <v>0.74732870239199378</v>
      </c>
      <c r="DN50" s="12"/>
      <c r="DO50" s="12"/>
      <c r="DP50" s="12"/>
      <c r="DQ50" s="12"/>
      <c r="DR50" s="12"/>
      <c r="DS50" s="24"/>
      <c r="DT50" s="24"/>
      <c r="DU50" s="24"/>
      <c r="DV50" s="24"/>
      <c r="DW50" s="24"/>
      <c r="DX50" s="24"/>
      <c r="DY50" s="24"/>
      <c r="DZ50" s="24"/>
      <c r="EA50" s="24"/>
      <c r="EB50" s="32"/>
      <c r="ED50" s="47"/>
      <c r="EE50" s="26">
        <v>350</v>
      </c>
      <c r="EF50" s="14">
        <f t="shared" si="24"/>
        <v>181.77182250935226</v>
      </c>
      <c r="EG50" s="14">
        <f t="shared" si="21"/>
        <v>130.67731475829373</v>
      </c>
      <c r="EH50" s="14">
        <f t="shared" si="21"/>
        <v>107.84900282006326</v>
      </c>
      <c r="EI50" s="14">
        <f t="shared" si="21"/>
        <v>95.519787196967329</v>
      </c>
      <c r="EJ50" s="14">
        <f t="shared" si="21"/>
        <v>87.838507074471053</v>
      </c>
      <c r="EK50" s="14">
        <f t="shared" si="21"/>
        <v>82.387597828770581</v>
      </c>
      <c r="EL50" s="14">
        <f t="shared" si="21"/>
        <v>78.04148075702301</v>
      </c>
      <c r="EM50" s="14">
        <f t="shared" si="21"/>
        <v>74.240779878491736</v>
      </c>
      <c r="EN50" s="14">
        <f t="shared" si="21"/>
        <v>70.697364305750312</v>
      </c>
      <c r="EO50" s="14">
        <f t="shared" si="21"/>
        <v>67.259899657762588</v>
      </c>
      <c r="EP50" s="14">
        <f t="shared" si="21"/>
        <v>63.848099703371709</v>
      </c>
      <c r="EQ50" s="14">
        <f t="shared" si="21"/>
        <v>60.419228008945552</v>
      </c>
      <c r="ER50" s="14">
        <f t="shared" si="21"/>
        <v>56.95064613141723</v>
      </c>
      <c r="ES50" s="14">
        <f t="shared" si="21"/>
        <v>53.430629950009255</v>
      </c>
      <c r="ET50" s="14">
        <f t="shared" si="21"/>
        <v>49.585214795544388</v>
      </c>
      <c r="EU50" s="14">
        <f t="shared" si="21"/>
        <v>45.812313415272698</v>
      </c>
      <c r="EV50" s="14">
        <f t="shared" si="21"/>
        <v>42.126042054220669</v>
      </c>
      <c r="EW50" s="14">
        <f t="shared" si="21"/>
        <v>38.516836752951903</v>
      </c>
      <c r="EX50" s="14">
        <f t="shared" si="21"/>
        <v>34.97374219463849</v>
      </c>
      <c r="EY50" s="14">
        <f t="shared" si="21"/>
        <v>31.4847543756979</v>
      </c>
      <c r="EZ50" s="14">
        <f t="shared" si="21"/>
        <v>28.037104198935904</v>
      </c>
      <c r="FA50" s="14">
        <f t="shared" si="21"/>
        <v>24.617473762168089</v>
      </c>
      <c r="FB50" s="14">
        <f t="shared" si="21"/>
        <v>21.212151204522108</v>
      </c>
      <c r="FC50" s="14">
        <f t="shared" si="21"/>
        <v>17.807135391890895</v>
      </c>
      <c r="FD50" s="14">
        <f t="shared" si="21"/>
        <v>14.388203165984789</v>
      </c>
      <c r="FE50" s="12"/>
      <c r="FF50" s="12"/>
      <c r="FG50" s="12"/>
      <c r="FH50" s="12"/>
      <c r="FI50" s="12"/>
      <c r="FJ50" s="24"/>
      <c r="FK50" s="24"/>
      <c r="FL50" s="24"/>
      <c r="FM50" s="24"/>
      <c r="FN50" s="24"/>
      <c r="FO50" s="24"/>
      <c r="FP50" s="24"/>
      <c r="FQ50" s="24"/>
      <c r="FR50" s="24"/>
      <c r="FS50" s="32"/>
    </row>
    <row r="51" spans="5:175" x14ac:dyDescent="0.25">
      <c r="E51" s="46"/>
      <c r="F51" s="26">
        <v>350</v>
      </c>
      <c r="G51" s="14">
        <f t="shared" si="4"/>
        <v>338.02969860741467</v>
      </c>
      <c r="H51" s="14">
        <f t="shared" si="5"/>
        <v>325.92492317977576</v>
      </c>
      <c r="I51" s="14">
        <f t="shared" si="6"/>
        <v>313.66216251570825</v>
      </c>
      <c r="J51" s="14">
        <f t="shared" si="7"/>
        <v>301.22212680077263</v>
      </c>
      <c r="K51" s="14">
        <f t="shared" si="8"/>
        <v>288.58916368163119</v>
      </c>
      <c r="L51" s="14">
        <f t="shared" si="9"/>
        <v>275.75084469102762</v>
      </c>
      <c r="M51" s="14">
        <f t="shared" si="10"/>
        <v>262.69770453090212</v>
      </c>
      <c r="N51" s="14">
        <f t="shared" si="11"/>
        <v>249.42312265843034</v>
      </c>
      <c r="O51" s="14">
        <f t="shared" si="12"/>
        <v>235.9233431567873</v>
      </c>
      <c r="P51" s="14">
        <f t="shared" si="13"/>
        <v>222.19763529167568</v>
      </c>
      <c r="Q51" s="14">
        <f t="shared" si="14"/>
        <v>208.24860373806916</v>
      </c>
      <c r="R51" s="14">
        <f t="shared" si="15"/>
        <v>194.08266450098358</v>
      </c>
      <c r="S51" s="51">
        <f t="shared" si="16"/>
        <v>179.71071036218157</v>
      </c>
      <c r="T51" s="51">
        <f t="shared" si="17"/>
        <v>165.14899860723219</v>
      </c>
      <c r="U51" s="51">
        <f t="shared" si="18"/>
        <v>150.42030421590277</v>
      </c>
      <c r="V51" s="51">
        <f t="shared" si="18"/>
        <v>136.04249685494364</v>
      </c>
      <c r="W51" s="51">
        <f t="shared" si="18"/>
        <v>121.97514760569936</v>
      </c>
      <c r="X51" s="51">
        <f t="shared" si="18"/>
        <v>108.15970683154106</v>
      </c>
      <c r="Y51" s="51">
        <f t="shared" si="18"/>
        <v>94.537385390374737</v>
      </c>
      <c r="Z51" s="51">
        <f t="shared" si="18"/>
        <v>81.050218128832796</v>
      </c>
      <c r="AA51" s="51">
        <f t="shared" si="18"/>
        <v>67.641848117466964</v>
      </c>
      <c r="AB51" s="51">
        <f t="shared" si="18"/>
        <v>54.25815455190066</v>
      </c>
      <c r="AC51" s="51">
        <f t="shared" si="18"/>
        <v>40.847827881373327</v>
      </c>
      <c r="AD51" s="51">
        <f t="shared" si="18"/>
        <v>27.362984202073356</v>
      </c>
      <c r="AE51" s="51">
        <f t="shared" si="18"/>
        <v>13.759906263100095</v>
      </c>
      <c r="AF51" s="12"/>
      <c r="AG51" s="12"/>
      <c r="AH51" s="12"/>
      <c r="AI51" s="12"/>
      <c r="AJ51" s="12"/>
      <c r="AK51" s="24"/>
      <c r="AL51" s="24"/>
      <c r="AM51" s="24"/>
      <c r="AN51" s="24"/>
      <c r="AO51" s="24"/>
      <c r="AP51" s="24"/>
      <c r="AQ51" s="24"/>
      <c r="AR51" s="24"/>
      <c r="AS51" s="24"/>
      <c r="AT51" s="32"/>
      <c r="AV51" s="47"/>
      <c r="AW51" s="26">
        <f t="shared" si="22"/>
        <v>-120197000</v>
      </c>
      <c r="AX51" s="26">
        <f t="shared" si="19"/>
        <v>-116626744.71667393</v>
      </c>
      <c r="AY51" s="26">
        <f t="shared" si="19"/>
        <v>-112564237.76884127</v>
      </c>
      <c r="AZ51" s="26">
        <f t="shared" si="19"/>
        <v>-108430505.55563423</v>
      </c>
      <c r="BA51" s="26">
        <f t="shared" si="19"/>
        <v>-104221270.95082882</v>
      </c>
      <c r="BB51" s="26">
        <f t="shared" si="19"/>
        <v>-99932821.194823354</v>
      </c>
      <c r="BC51" s="26">
        <f t="shared" si="19"/>
        <v>-95561936.185271218</v>
      </c>
      <c r="BD51" s="26">
        <f t="shared" si="19"/>
        <v>-91105841.373634487</v>
      </c>
      <c r="BE51" s="26">
        <f t="shared" si="19"/>
        <v>-86562183.252626672</v>
      </c>
      <c r="BF51" s="26">
        <f t="shared" si="19"/>
        <v>-81929026.528047353</v>
      </c>
      <c r="BG51" s="26">
        <f t="shared" si="19"/>
        <v>-77204873.139616773</v>
      </c>
      <c r="BH51" s="26">
        <f t="shared" si="19"/>
        <v>-72388704.383313611</v>
      </c>
      <c r="BI51" s="26">
        <f t="shared" si="19"/>
        <v>-67480048.547827691</v>
      </c>
      <c r="BJ51" s="26">
        <f t="shared" si="19"/>
        <v>-62479077.769493066</v>
      </c>
      <c r="BK51" s="26">
        <f t="shared" si="19"/>
        <v>-57386739.299943343</v>
      </c>
      <c r="BL51" s="26">
        <f t="shared" si="19"/>
        <v>-50246775.011736944</v>
      </c>
      <c r="BM51" s="26">
        <f t="shared" si="19"/>
        <v>-45471672.660830878</v>
      </c>
      <c r="BN51" s="26">
        <f t="shared" si="19"/>
        <v>-40876033.120903775</v>
      </c>
      <c r="BO51" s="26">
        <f t="shared" si="19"/>
        <v>-36367866.801459923</v>
      </c>
      <c r="BP51" s="26">
        <f t="shared" si="19"/>
        <v>-31922709.088672519</v>
      </c>
      <c r="BQ51" s="26">
        <f t="shared" si="19"/>
        <v>-27517500.964095812</v>
      </c>
      <c r="BR51" s="26">
        <f t="shared" si="19"/>
        <v>-23130364.168386437</v>
      </c>
      <c r="BS51" s="26">
        <f t="shared" si="19"/>
        <v>-18740400.518156983</v>
      </c>
      <c r="BT51" s="26">
        <f t="shared" si="19"/>
        <v>-14327519.426287215</v>
      </c>
      <c r="BU51" s="26">
        <f t="shared" si="19"/>
        <v>-9872297.7585626524</v>
      </c>
      <c r="BV51" s="26">
        <f t="shared" si="19"/>
        <v>-5355876.8718637098</v>
      </c>
      <c r="BW51" s="12"/>
      <c r="BX51" s="12"/>
      <c r="BY51" s="12"/>
      <c r="BZ51" s="12"/>
      <c r="CA51" s="12"/>
      <c r="CB51" s="24"/>
      <c r="CC51" s="24"/>
      <c r="CD51" s="24"/>
      <c r="CE51" s="24"/>
      <c r="CF51" s="24"/>
      <c r="CG51" s="24"/>
      <c r="CH51" s="24"/>
      <c r="CI51" s="24"/>
      <c r="CJ51" s="24"/>
      <c r="CK51" s="32"/>
      <c r="CM51" s="47"/>
      <c r="CN51" s="49">
        <v>0</v>
      </c>
      <c r="CO51" s="14">
        <f t="shared" si="25"/>
        <v>0.47951790558030016</v>
      </c>
      <c r="CP51" s="14">
        <f t="shared" ref="CP51:DM51" si="31">$C$20/($C$21-$C$22*CO51)</f>
        <v>0.62269991964003457</v>
      </c>
      <c r="CQ51" s="14">
        <f t="shared" si="31"/>
        <v>0.68365413138804965</v>
      </c>
      <c r="CR51" s="14">
        <f t="shared" si="31"/>
        <v>0.71338189544565556</v>
      </c>
      <c r="CS51" s="14">
        <f t="shared" si="31"/>
        <v>0.7288385559423749</v>
      </c>
      <c r="CT51" s="14">
        <f t="shared" si="31"/>
        <v>0.73714277157833852</v>
      </c>
      <c r="CU51" s="14">
        <f t="shared" si="31"/>
        <v>0.74168290376483481</v>
      </c>
      <c r="CV51" s="14">
        <f t="shared" si="31"/>
        <v>0.74418883943825731</v>
      </c>
      <c r="CW51" s="14">
        <f t="shared" si="31"/>
        <v>0.74557926227188609</v>
      </c>
      <c r="CX51" s="14">
        <f t="shared" si="31"/>
        <v>0.74635298434150033</v>
      </c>
      <c r="CY51" s="14">
        <f t="shared" si="31"/>
        <v>0.74678422966310576</v>
      </c>
      <c r="CZ51" s="14">
        <f t="shared" si="31"/>
        <v>0.7470248069144555</v>
      </c>
      <c r="DA51" s="14">
        <f t="shared" si="31"/>
        <v>0.74715908423415356</v>
      </c>
      <c r="DB51" s="14">
        <f t="shared" si="31"/>
        <v>0.7472340516255952</v>
      </c>
      <c r="DC51" s="14">
        <f t="shared" si="31"/>
        <v>0.74727591266789473</v>
      </c>
      <c r="DD51" s="14">
        <f t="shared" si="31"/>
        <v>0.74729928949639013</v>
      </c>
      <c r="DE51" s="14">
        <f t="shared" si="31"/>
        <v>0.74731234465992313</v>
      </c>
      <c r="DF51" s="14">
        <f t="shared" si="31"/>
        <v>0.74731963572317806</v>
      </c>
      <c r="DG51" s="14">
        <f t="shared" si="31"/>
        <v>0.74732370770676959</v>
      </c>
      <c r="DH51" s="14">
        <f t="shared" si="31"/>
        <v>0.74732598188689847</v>
      </c>
      <c r="DI51" s="14">
        <f t="shared" si="31"/>
        <v>0.74732725200984262</v>
      </c>
      <c r="DJ51" s="14">
        <f t="shared" si="31"/>
        <v>0.74732796137166757</v>
      </c>
      <c r="DK51" s="14">
        <f t="shared" si="31"/>
        <v>0.74732835754980542</v>
      </c>
      <c r="DL51" s="14">
        <f t="shared" si="31"/>
        <v>0.74732857881523174</v>
      </c>
      <c r="DM51" s="14">
        <f t="shared" si="31"/>
        <v>0.74732870239199378</v>
      </c>
      <c r="DN51" s="12"/>
      <c r="DO51" s="12"/>
      <c r="DP51" s="12"/>
      <c r="DQ51" s="12"/>
      <c r="DR51" s="12"/>
      <c r="DS51" s="24"/>
      <c r="DT51" s="24"/>
      <c r="DU51" s="24"/>
      <c r="DV51" s="24"/>
      <c r="DW51" s="24"/>
      <c r="DX51" s="24"/>
      <c r="DY51" s="24"/>
      <c r="DZ51" s="24"/>
      <c r="EA51" s="24"/>
      <c r="EB51" s="32"/>
      <c r="ED51" s="47"/>
      <c r="EE51" s="26">
        <v>350</v>
      </c>
      <c r="EF51" s="14">
        <f t="shared" si="24"/>
        <v>181.74286206782838</v>
      </c>
      <c r="EG51" s="14">
        <f t="shared" si="21"/>
        <v>130.60751978712474</v>
      </c>
      <c r="EH51" s="14">
        <f t="shared" si="21"/>
        <v>107.73041106286507</v>
      </c>
      <c r="EI51" s="14">
        <f t="shared" si="21"/>
        <v>95.347842208494043</v>
      </c>
      <c r="EJ51" s="14">
        <f t="shared" si="21"/>
        <v>87.611316237132499</v>
      </c>
      <c r="EK51" s="14">
        <f t="shared" si="21"/>
        <v>82.105130685850995</v>
      </c>
      <c r="EL51" s="14">
        <f t="shared" si="21"/>
        <v>77.704838651504957</v>
      </c>
      <c r="EM51" s="14">
        <f t="shared" si="21"/>
        <v>73.851603718187079</v>
      </c>
      <c r="EN51" s="14">
        <f t="shared" si="21"/>
        <v>70.25739415746213</v>
      </c>
      <c r="EO51" s="14">
        <f t="shared" si="21"/>
        <v>66.770668406817236</v>
      </c>
      <c r="EP51" s="14">
        <f t="shared" si="21"/>
        <v>63.310730637739155</v>
      </c>
      <c r="EQ51" s="14">
        <f t="shared" si="21"/>
        <v>59.834305792215233</v>
      </c>
      <c r="ER51" s="14">
        <f t="shared" si="21"/>
        <v>56.318135800614478</v>
      </c>
      <c r="ES51" s="14">
        <f t="shared" si="21"/>
        <v>52.749825241228571</v>
      </c>
      <c r="ET51" s="14">
        <f t="shared" si="21"/>
        <v>48.759023217005577</v>
      </c>
      <c r="EU51" s="14">
        <f t="shared" si="21"/>
        <v>44.890555712987187</v>
      </c>
      <c r="EV51" s="14">
        <f t="shared" si="21"/>
        <v>41.14606349569052</v>
      </c>
      <c r="EW51" s="14">
        <f t="shared" si="21"/>
        <v>37.510062419384504</v>
      </c>
      <c r="EX51" s="14">
        <f t="shared" si="21"/>
        <v>33.96663586789299</v>
      </c>
      <c r="EY51" s="14">
        <f t="shared" si="21"/>
        <v>30.499707567802343</v>
      </c>
      <c r="EZ51" s="14">
        <f t="shared" si="21"/>
        <v>27.093250577069718</v>
      </c>
      <c r="FA51" s="14">
        <f t="shared" si="21"/>
        <v>23.731430614853171</v>
      </c>
      <c r="FB51" s="14">
        <f t="shared" si="21"/>
        <v>20.398693839976573</v>
      </c>
      <c r="FC51" s="14">
        <f t="shared" si="21"/>
        <v>17.079813009839956</v>
      </c>
      <c r="FD51" s="14">
        <f t="shared" si="21"/>
        <v>13.759906263100095</v>
      </c>
      <c r="FE51" s="12"/>
      <c r="FF51" s="12"/>
      <c r="FG51" s="12"/>
      <c r="FH51" s="12"/>
      <c r="FI51" s="12"/>
      <c r="FJ51" s="24"/>
      <c r="FK51" s="24"/>
      <c r="FL51" s="24"/>
      <c r="FM51" s="24"/>
      <c r="FN51" s="24"/>
      <c r="FO51" s="24"/>
      <c r="FP51" s="24"/>
      <c r="FQ51" s="24"/>
      <c r="FR51" s="24"/>
      <c r="FS51" s="32"/>
    </row>
    <row r="52" spans="5:175" x14ac:dyDescent="0.25">
      <c r="E52" s="46"/>
      <c r="F52" s="26">
        <v>350</v>
      </c>
      <c r="G52" s="14">
        <f t="shared" si="4"/>
        <v>337.72795022587445</v>
      </c>
      <c r="H52" s="14">
        <f t="shared" si="5"/>
        <v>325.34455578046982</v>
      </c>
      <c r="I52" s="14">
        <f t="shared" si="6"/>
        <v>312.82322421001976</v>
      </c>
      <c r="J52" s="14">
        <f t="shared" si="7"/>
        <v>300.1414771613035</v>
      </c>
      <c r="K52" s="14">
        <f t="shared" si="8"/>
        <v>287.28043995663796</v>
      </c>
      <c r="L52" s="14">
        <f t="shared" si="9"/>
        <v>274.22447358289992</v>
      </c>
      <c r="M52" s="14">
        <f t="shared" si="10"/>
        <v>260.96094077598957</v>
      </c>
      <c r="N52" s="14">
        <f t="shared" si="11"/>
        <v>247.48010334118055</v>
      </c>
      <c r="O52" s="14">
        <f t="shared" si="12"/>
        <v>233.77515353919094</v>
      </c>
      <c r="P52" s="14">
        <f t="shared" si="13"/>
        <v>219.84238852433751</v>
      </c>
      <c r="Q52" s="14">
        <f t="shared" si="14"/>
        <v>205.68154372088858</v>
      </c>
      <c r="R52" s="14">
        <f t="shared" si="15"/>
        <v>191.29630899321859</v>
      </c>
      <c r="S52" s="51">
        <f t="shared" si="16"/>
        <v>176.69506089578209</v>
      </c>
      <c r="T52" s="51">
        <f t="shared" si="17"/>
        <v>161.89185565403952</v>
      </c>
      <c r="U52" s="51">
        <f t="shared" si="18"/>
        <v>146.9077414058705</v>
      </c>
      <c r="V52" s="51">
        <f t="shared" si="18"/>
        <v>132.42921873672572</v>
      </c>
      <c r="W52" s="51">
        <f t="shared" si="18"/>
        <v>118.38626161825951</v>
      </c>
      <c r="X52" s="51">
        <f t="shared" si="18"/>
        <v>104.69972173085367</v>
      </c>
      <c r="Y52" s="51">
        <f t="shared" si="18"/>
        <v>91.294421621086698</v>
      </c>
      <c r="Z52" s="51">
        <f t="shared" si="18"/>
        <v>78.099625091920444</v>
      </c>
      <c r="AA52" s="51">
        <f t="shared" si="18"/>
        <v>65.049283340301002</v>
      </c>
      <c r="AB52" s="51">
        <f t="shared" si="18"/>
        <v>52.082174324669765</v>
      </c>
      <c r="AC52" s="51">
        <f t="shared" si="18"/>
        <v>39.142028912045291</v>
      </c>
      <c r="AD52" s="51">
        <f t="shared" si="18"/>
        <v>26.177721975563735</v>
      </c>
      <c r="AE52" s="51">
        <f t="shared" si="18"/>
        <v>13.143598216673169</v>
      </c>
      <c r="AF52" s="12"/>
      <c r="AG52" s="12"/>
      <c r="AH52" s="12"/>
      <c r="AI52" s="12"/>
      <c r="AJ52" s="12"/>
      <c r="AK52" s="24"/>
      <c r="AL52" s="24"/>
      <c r="AM52" s="24"/>
      <c r="AN52" s="24"/>
      <c r="AO52" s="24"/>
      <c r="AP52" s="24"/>
      <c r="AQ52" s="24"/>
      <c r="AR52" s="24"/>
      <c r="AS52" s="24"/>
      <c r="AT52" s="32"/>
      <c r="AV52" s="47"/>
      <c r="AW52" s="26">
        <f t="shared" si="22"/>
        <v>-120197000</v>
      </c>
      <c r="AX52" s="26">
        <f t="shared" si="19"/>
        <v>-116430138.24511206</v>
      </c>
      <c r="AY52" s="26">
        <f t="shared" si="19"/>
        <v>-112284334.58881164</v>
      </c>
      <c r="AZ52" s="26">
        <f t="shared" si="19"/>
        <v>-108074621.88083498</v>
      </c>
      <c r="BA52" s="26">
        <f t="shared" si="19"/>
        <v>-103795332.51365085</v>
      </c>
      <c r="BB52" s="26">
        <f t="shared" si="19"/>
        <v>-99441463.949579969</v>
      </c>
      <c r="BC52" s="26">
        <f t="shared" si="19"/>
        <v>-95008585.779192165</v>
      </c>
      <c r="BD52" s="26">
        <f t="shared" si="19"/>
        <v>-90492770.885443121</v>
      </c>
      <c r="BE52" s="26">
        <f t="shared" si="19"/>
        <v>-85890548.805494279</v>
      </c>
      <c r="BF52" s="26">
        <f t="shared" si="19"/>
        <v>-81198880.38414143</v>
      </c>
      <c r="BG52" s="26">
        <f t="shared" si="19"/>
        <v>-76415153.817181796</v>
      </c>
      <c r="BH52" s="26">
        <f t="shared" si="19"/>
        <v>-71537203.23999621</v>
      </c>
      <c r="BI52" s="26">
        <f t="shared" si="19"/>
        <v>-66563352.180912592</v>
      </c>
      <c r="BJ52" s="26">
        <f t="shared" si="19"/>
        <v>-61492485.53293997</v>
      </c>
      <c r="BK52" s="26">
        <f t="shared" si="19"/>
        <v>-56324155.27454444</v>
      </c>
      <c r="BL52" s="26">
        <f t="shared" si="19"/>
        <v>-48418578.405926742</v>
      </c>
      <c r="BM52" s="26">
        <f t="shared" si="19"/>
        <v>-43727868.784838326</v>
      </c>
      <c r="BN52" s="26">
        <f t="shared" si="19"/>
        <v>-39223412.696080044</v>
      </c>
      <c r="BO52" s="26">
        <f t="shared" si="19"/>
        <v>-34825394.530701391</v>
      </c>
      <c r="BP52" s="26">
        <f t="shared" si="19"/>
        <v>-30506105.879098684</v>
      </c>
      <c r="BQ52" s="26">
        <f t="shared" si="19"/>
        <v>-26240265.04332919</v>
      </c>
      <c r="BR52" s="26">
        <f t="shared" si="19"/>
        <v>-22004629.286053672</v>
      </c>
      <c r="BS52" s="26">
        <f t="shared" si="19"/>
        <v>-17777666.622490846</v>
      </c>
      <c r="BT52" s="26">
        <f t="shared" si="19"/>
        <v>-13539284.894880062</v>
      </c>
      <c r="BU52" s="26">
        <f t="shared" si="19"/>
        <v>-9270616.9069323279</v>
      </c>
      <c r="BV52" s="26">
        <f t="shared" si="19"/>
        <v>-4953861.8198559722</v>
      </c>
      <c r="BW52" s="12"/>
      <c r="BX52" s="12"/>
      <c r="BY52" s="12"/>
      <c r="BZ52" s="12"/>
      <c r="CA52" s="12"/>
      <c r="CB52" s="24"/>
      <c r="CC52" s="24"/>
      <c r="CD52" s="24"/>
      <c r="CE52" s="24"/>
      <c r="CF52" s="24"/>
      <c r="CG52" s="24"/>
      <c r="CH52" s="24"/>
      <c r="CI52" s="24"/>
      <c r="CJ52" s="24"/>
      <c r="CK52" s="32"/>
      <c r="CM52" s="47"/>
      <c r="CN52" s="49">
        <v>0</v>
      </c>
      <c r="CO52" s="14">
        <f t="shared" si="25"/>
        <v>0.47951790558030016</v>
      </c>
      <c r="CP52" s="14">
        <f t="shared" ref="CP52:DM52" si="32">$C$20/($C$21-$C$22*CO52)</f>
        <v>0.62269991964003457</v>
      </c>
      <c r="CQ52" s="14">
        <f t="shared" si="32"/>
        <v>0.68365413138804965</v>
      </c>
      <c r="CR52" s="14">
        <f t="shared" si="32"/>
        <v>0.71338189544565556</v>
      </c>
      <c r="CS52" s="14">
        <f t="shared" si="32"/>
        <v>0.7288385559423749</v>
      </c>
      <c r="CT52" s="14">
        <f t="shared" si="32"/>
        <v>0.73714277157833852</v>
      </c>
      <c r="CU52" s="14">
        <f t="shared" si="32"/>
        <v>0.74168290376483481</v>
      </c>
      <c r="CV52" s="14">
        <f t="shared" si="32"/>
        <v>0.74418883943825731</v>
      </c>
      <c r="CW52" s="14">
        <f t="shared" si="32"/>
        <v>0.74557926227188609</v>
      </c>
      <c r="CX52" s="14">
        <f t="shared" si="32"/>
        <v>0.74635298434150033</v>
      </c>
      <c r="CY52" s="14">
        <f t="shared" si="32"/>
        <v>0.74678422966310576</v>
      </c>
      <c r="CZ52" s="14">
        <f t="shared" si="32"/>
        <v>0.7470248069144555</v>
      </c>
      <c r="DA52" s="14">
        <f t="shared" si="32"/>
        <v>0.74715908423415356</v>
      </c>
      <c r="DB52" s="14">
        <f t="shared" si="32"/>
        <v>0.7472340516255952</v>
      </c>
      <c r="DC52" s="14">
        <f t="shared" si="32"/>
        <v>0.74727591266789473</v>
      </c>
      <c r="DD52" s="14">
        <f t="shared" si="32"/>
        <v>0.74729928949639013</v>
      </c>
      <c r="DE52" s="14">
        <f t="shared" si="32"/>
        <v>0.74731234465992313</v>
      </c>
      <c r="DF52" s="14">
        <f t="shared" si="32"/>
        <v>0.74731963572317806</v>
      </c>
      <c r="DG52" s="14">
        <f t="shared" si="32"/>
        <v>0.74732370770676959</v>
      </c>
      <c r="DH52" s="14">
        <f t="shared" si="32"/>
        <v>0.74732598188689847</v>
      </c>
      <c r="DI52" s="14">
        <f t="shared" si="32"/>
        <v>0.74732725200984262</v>
      </c>
      <c r="DJ52" s="14">
        <f t="shared" si="32"/>
        <v>0.74732796137166757</v>
      </c>
      <c r="DK52" s="14">
        <f t="shared" si="32"/>
        <v>0.74732835754980542</v>
      </c>
      <c r="DL52" s="14">
        <f t="shared" si="32"/>
        <v>0.74732857881523174</v>
      </c>
      <c r="DM52" s="14">
        <f t="shared" si="32"/>
        <v>0.74732870239199378</v>
      </c>
      <c r="DN52" s="12"/>
      <c r="DO52" s="12"/>
      <c r="DP52" s="12"/>
      <c r="DQ52" s="12"/>
      <c r="DR52" s="12"/>
      <c r="DS52" s="24"/>
      <c r="DT52" s="24"/>
      <c r="DU52" s="24"/>
      <c r="DV52" s="24"/>
      <c r="DW52" s="24"/>
      <c r="DX52" s="24"/>
      <c r="DY52" s="24"/>
      <c r="DZ52" s="24"/>
      <c r="EA52" s="24"/>
      <c r="EB52" s="32"/>
      <c r="ED52" s="47"/>
      <c r="EE52" s="26">
        <v>350</v>
      </c>
      <c r="EF52" s="14">
        <f t="shared" si="24"/>
        <v>181.71941024607045</v>
      </c>
      <c r="EG52" s="14">
        <f t="shared" si="21"/>
        <v>130.54955920335402</v>
      </c>
      <c r="EH52" s="14">
        <f t="shared" si="21"/>
        <v>107.6302633477827</v>
      </c>
      <c r="EI52" s="14">
        <f t="shared" si="21"/>
        <v>95.200812380575272</v>
      </c>
      <c r="EJ52" s="14">
        <f t="shared" si="21"/>
        <v>87.415070626419251</v>
      </c>
      <c r="EK52" s="14">
        <f t="shared" si="21"/>
        <v>81.859002425596287</v>
      </c>
      <c r="EL52" s="14">
        <f t="shared" si="21"/>
        <v>77.409179105881378</v>
      </c>
      <c r="EM52" s="14">
        <f t="shared" si="21"/>
        <v>73.50724313934964</v>
      </c>
      <c r="EN52" s="14">
        <f t="shared" si="21"/>
        <v>69.865227687126037</v>
      </c>
      <c r="EO52" s="14">
        <f t="shared" si="21"/>
        <v>66.331354544285546</v>
      </c>
      <c r="EP52" s="14">
        <f t="shared" si="21"/>
        <v>62.824476971992389</v>
      </c>
      <c r="EQ52" s="14">
        <f t="shared" si="21"/>
        <v>59.300715244809034</v>
      </c>
      <c r="ER52" s="14">
        <f t="shared" si="21"/>
        <v>55.736090280342161</v>
      </c>
      <c r="ES52" s="14">
        <f t="shared" si="21"/>
        <v>52.117388828165687</v>
      </c>
      <c r="ET52" s="14">
        <f t="shared" si="21"/>
        <v>47.946576110487527</v>
      </c>
      <c r="EU52" s="14">
        <f t="shared" si="21"/>
        <v>43.959249543266608</v>
      </c>
      <c r="EV52" s="14">
        <f t="shared" si="21"/>
        <v>40.142867086333744</v>
      </c>
      <c r="EW52" s="14">
        <f t="shared" si="21"/>
        <v>36.473607821424913</v>
      </c>
      <c r="EX52" s="14">
        <f t="shared" si="21"/>
        <v>32.928720226884053</v>
      </c>
      <c r="EY52" s="14">
        <f t="shared" si="21"/>
        <v>29.486605548590926</v>
      </c>
      <c r="EZ52" s="14">
        <f t="shared" si="21"/>
        <v>26.126855123547976</v>
      </c>
      <c r="FA52" s="14">
        <f t="shared" si="21"/>
        <v>22.830241653880091</v>
      </c>
      <c r="FB52" s="14">
        <f t="shared" si="21"/>
        <v>19.578674943651801</v>
      </c>
      <c r="FC52" s="14">
        <f t="shared" si="21"/>
        <v>16.355135399778963</v>
      </c>
      <c r="FD52" s="14">
        <f t="shared" si="21"/>
        <v>13.143598216673169</v>
      </c>
      <c r="FE52" s="12"/>
      <c r="FF52" s="12"/>
      <c r="FG52" s="12"/>
      <c r="FH52" s="12"/>
      <c r="FI52" s="12"/>
      <c r="FJ52" s="24"/>
      <c r="FK52" s="24"/>
      <c r="FL52" s="24"/>
      <c r="FM52" s="24"/>
      <c r="FN52" s="24"/>
      <c r="FO52" s="24"/>
      <c r="FP52" s="24"/>
      <c r="FQ52" s="24"/>
      <c r="FR52" s="24"/>
      <c r="FS52" s="32"/>
    </row>
    <row r="53" spans="5:175" x14ac:dyDescent="0.25">
      <c r="E53" s="46"/>
      <c r="F53" s="26">
        <v>350</v>
      </c>
      <c r="G53" s="14">
        <f t="shared" si="4"/>
        <v>337.46475176649562</v>
      </c>
      <c r="H53" s="14">
        <f t="shared" si="5"/>
        <v>324.83506952579938</v>
      </c>
      <c r="I53" s="14">
        <f t="shared" si="6"/>
        <v>312.0817698224875</v>
      </c>
      <c r="J53" s="14">
        <f t="shared" si="7"/>
        <v>299.17953810496084</v>
      </c>
      <c r="K53" s="14">
        <f t="shared" si="8"/>
        <v>286.10647829643335</v>
      </c>
      <c r="L53" s="14">
        <f t="shared" si="9"/>
        <v>272.84377607421965</v>
      </c>
      <c r="M53" s="14">
        <f t="shared" si="10"/>
        <v>259.37547478280578</v>
      </c>
      <c r="N53" s="14">
        <f t="shared" si="11"/>
        <v>245.68836712257263</v>
      </c>
      <c r="O53" s="14">
        <f t="shared" si="12"/>
        <v>231.77201070854221</v>
      </c>
      <c r="P53" s="14">
        <f t="shared" si="13"/>
        <v>217.61888150269348</v>
      </c>
      <c r="Q53" s="14">
        <f t="shared" si="14"/>
        <v>203.22468628438423</v>
      </c>
      <c r="R53" s="14">
        <f t="shared" si="15"/>
        <v>188.58886412063427</v>
      </c>
      <c r="S53" s="51">
        <f t="shared" si="16"/>
        <v>173.71531772575636</v>
      </c>
      <c r="T53" s="51">
        <f t="shared" si="17"/>
        <v>158.61342928970799</v>
      </c>
      <c r="U53" s="51">
        <f t="shared" si="18"/>
        <v>143.29943261150513</v>
      </c>
      <c r="V53" s="51">
        <f t="shared" si="18"/>
        <v>128.68074429335078</v>
      </c>
      <c r="W53" s="51">
        <f t="shared" si="18"/>
        <v>114.64838886519416</v>
      </c>
      <c r="X53" s="51">
        <f t="shared" si="18"/>
        <v>101.09467976497768</v>
      </c>
      <c r="Y53" s="51">
        <f t="shared" si="18"/>
        <v>87.921964701921041</v>
      </c>
      <c r="Z53" s="51">
        <f t="shared" si="18"/>
        <v>75.042023168232234</v>
      </c>
      <c r="AA53" s="51">
        <f t="shared" si="18"/>
        <v>62.375392861801366</v>
      </c>
      <c r="AB53" s="51">
        <f t="shared" si="18"/>
        <v>49.850714495438154</v>
      </c>
      <c r="AC53" s="51">
        <f t="shared" si="18"/>
        <v>37.404160379259828</v>
      </c>
      <c r="AD53" s="51">
        <f t="shared" si="18"/>
        <v>24.97899652264605</v>
      </c>
      <c r="AE53" s="51">
        <f t="shared" si="18"/>
        <v>12.525318844478392</v>
      </c>
      <c r="AF53" s="12"/>
      <c r="AG53" s="12"/>
      <c r="AH53" s="12"/>
      <c r="AI53" s="12"/>
      <c r="AJ53" s="12"/>
      <c r="AK53" s="24"/>
      <c r="AL53" s="24"/>
      <c r="AM53" s="24"/>
      <c r="AN53" s="24"/>
      <c r="AO53" s="24"/>
      <c r="AP53" s="24"/>
      <c r="AQ53" s="24"/>
      <c r="AR53" s="24"/>
      <c r="AS53" s="24"/>
      <c r="AT53" s="32"/>
      <c r="AV53" s="47"/>
      <c r="AW53" s="26">
        <f t="shared" si="22"/>
        <v>-120197000</v>
      </c>
      <c r="AX53" s="26">
        <f t="shared" si="19"/>
        <v>-116271769.76056094</v>
      </c>
      <c r="AY53" s="26">
        <f t="shared" si="19"/>
        <v>-112051801.77626514</v>
      </c>
      <c r="AZ53" s="26">
        <f t="shared" si="19"/>
        <v>-107773828.08958197</v>
      </c>
      <c r="BA53" s="26">
        <f t="shared" si="19"/>
        <v>-103430965.901829</v>
      </c>
      <c r="BB53" s="26">
        <f t="shared" si="19"/>
        <v>-99017049.279579476</v>
      </c>
      <c r="BC53" s="26">
        <f t="shared" si="19"/>
        <v>-94526517.837593183</v>
      </c>
      <c r="BD53" s="26">
        <f t="shared" si="19"/>
        <v>-89954327.152564704</v>
      </c>
      <c r="BE53" s="26">
        <f t="shared" si="19"/>
        <v>-85295879.027499065</v>
      </c>
      <c r="BF53" s="26">
        <f t="shared" si="19"/>
        <v>-80546970.540637195</v>
      </c>
      <c r="BG53" s="26">
        <f t="shared" si="19"/>
        <v>-75703761.655746296</v>
      </c>
      <c r="BH53" s="26">
        <f t="shared" si="19"/>
        <v>-70762762.084454805</v>
      </c>
      <c r="BI53" s="26">
        <f t="shared" si="19"/>
        <v>-65720839.125442706</v>
      </c>
      <c r="BJ53" s="26">
        <f t="shared" si="19"/>
        <v>-60575249.418884479</v>
      </c>
      <c r="BK53" s="26">
        <f t="shared" si="19"/>
        <v>-55323699.020132527</v>
      </c>
      <c r="BL53" s="26">
        <f t="shared" si="19"/>
        <v>-46416751.54004804</v>
      </c>
      <c r="BM53" s="26">
        <f t="shared" si="19"/>
        <v>-41834482.98743172</v>
      </c>
      <c r="BN53" s="26">
        <f t="shared" si="19"/>
        <v>-37448391.465765566</v>
      </c>
      <c r="BO53" s="26">
        <f t="shared" si="19"/>
        <v>-33186338.895506114</v>
      </c>
      <c r="BP53" s="26">
        <f t="shared" si="19"/>
        <v>-29017211.529874951</v>
      </c>
      <c r="BQ53" s="26">
        <f t="shared" si="19"/>
        <v>-24913420.462857448</v>
      </c>
      <c r="BR53" s="26">
        <f t="shared" si="19"/>
        <v>-20850310.617527846</v>
      </c>
      <c r="BS53" s="26">
        <f t="shared" si="19"/>
        <v>-16805672.886280116</v>
      </c>
      <c r="BT53" s="26">
        <f t="shared" si="19"/>
        <v>-12759347.913995907</v>
      </c>
      <c r="BU53" s="26">
        <f t="shared" si="19"/>
        <v>-8692912.5484537054</v>
      </c>
      <c r="BV53" s="26">
        <f t="shared" si="19"/>
        <v>-4589442.4861399373</v>
      </c>
      <c r="BW53" s="12"/>
      <c r="BX53" s="12"/>
      <c r="BY53" s="12"/>
      <c r="BZ53" s="12"/>
      <c r="CA53" s="12"/>
      <c r="CB53" s="24"/>
      <c r="CC53" s="24"/>
      <c r="CD53" s="24"/>
      <c r="CE53" s="24"/>
      <c r="CF53" s="24"/>
      <c r="CG53" s="24"/>
      <c r="CH53" s="24"/>
      <c r="CI53" s="24"/>
      <c r="CJ53" s="24"/>
      <c r="CK53" s="32"/>
      <c r="CM53" s="47"/>
      <c r="CN53" s="49">
        <v>0</v>
      </c>
      <c r="CO53" s="14">
        <f t="shared" si="25"/>
        <v>0.47951790558030016</v>
      </c>
      <c r="CP53" s="14">
        <f t="shared" ref="CP53:DM53" si="33">$C$20/($C$21-$C$22*CO53)</f>
        <v>0.62269991964003457</v>
      </c>
      <c r="CQ53" s="14">
        <f t="shared" si="33"/>
        <v>0.68365413138804965</v>
      </c>
      <c r="CR53" s="14">
        <f t="shared" si="33"/>
        <v>0.71338189544565556</v>
      </c>
      <c r="CS53" s="14">
        <f t="shared" si="33"/>
        <v>0.7288385559423749</v>
      </c>
      <c r="CT53" s="14">
        <f t="shared" si="33"/>
        <v>0.73714277157833852</v>
      </c>
      <c r="CU53" s="14">
        <f t="shared" si="33"/>
        <v>0.74168290376483481</v>
      </c>
      <c r="CV53" s="14">
        <f t="shared" si="33"/>
        <v>0.74418883943825731</v>
      </c>
      <c r="CW53" s="14">
        <f t="shared" si="33"/>
        <v>0.74557926227188609</v>
      </c>
      <c r="CX53" s="14">
        <f t="shared" si="33"/>
        <v>0.74635298434150033</v>
      </c>
      <c r="CY53" s="14">
        <f t="shared" si="33"/>
        <v>0.74678422966310576</v>
      </c>
      <c r="CZ53" s="14">
        <f t="shared" si="33"/>
        <v>0.7470248069144555</v>
      </c>
      <c r="DA53" s="14">
        <f t="shared" si="33"/>
        <v>0.74715908423415356</v>
      </c>
      <c r="DB53" s="14">
        <f t="shared" si="33"/>
        <v>0.7472340516255952</v>
      </c>
      <c r="DC53" s="14">
        <f t="shared" si="33"/>
        <v>0.74727591266789473</v>
      </c>
      <c r="DD53" s="14">
        <f t="shared" si="33"/>
        <v>0.74729928949639013</v>
      </c>
      <c r="DE53" s="14">
        <f t="shared" si="33"/>
        <v>0.74731234465992313</v>
      </c>
      <c r="DF53" s="14">
        <f t="shared" si="33"/>
        <v>0.74731963572317806</v>
      </c>
      <c r="DG53" s="14">
        <f t="shared" si="33"/>
        <v>0.74732370770676959</v>
      </c>
      <c r="DH53" s="14">
        <f t="shared" si="33"/>
        <v>0.74732598188689847</v>
      </c>
      <c r="DI53" s="14">
        <f t="shared" si="33"/>
        <v>0.74732725200984262</v>
      </c>
      <c r="DJ53" s="14">
        <f t="shared" si="33"/>
        <v>0.74732796137166757</v>
      </c>
      <c r="DK53" s="14">
        <f t="shared" si="33"/>
        <v>0.74732835754980542</v>
      </c>
      <c r="DL53" s="14">
        <f t="shared" si="33"/>
        <v>0.74732857881523174</v>
      </c>
      <c r="DM53" s="14">
        <f t="shared" si="33"/>
        <v>0.74732870239199378</v>
      </c>
      <c r="DN53" s="12"/>
      <c r="DO53" s="12"/>
      <c r="DP53" s="12"/>
      <c r="DQ53" s="12"/>
      <c r="DR53" s="12"/>
      <c r="DS53" s="24"/>
      <c r="DT53" s="24"/>
      <c r="DU53" s="24"/>
      <c r="DV53" s="24"/>
      <c r="DW53" s="24"/>
      <c r="DX53" s="24"/>
      <c r="DY53" s="24"/>
      <c r="DZ53" s="24"/>
      <c r="EA53" s="24"/>
      <c r="EB53" s="32"/>
      <c r="ED53" s="47"/>
      <c r="EE53" s="26">
        <v>350</v>
      </c>
      <c r="EF53" s="14">
        <f t="shared" si="24"/>
        <v>181.70051956845307</v>
      </c>
      <c r="EG53" s="14">
        <f t="shared" si="21"/>
        <v>130.50177653621665</v>
      </c>
      <c r="EH53" s="14">
        <f t="shared" si="21"/>
        <v>107.54644257026261</v>
      </c>
      <c r="EI53" s="14">
        <f t="shared" si="21"/>
        <v>95.076356318569921</v>
      </c>
      <c r="EJ53" s="14">
        <f t="shared" si="21"/>
        <v>87.247414544634381</v>
      </c>
      <c r="EK53" s="14">
        <f t="shared" si="21"/>
        <v>81.647019713374718</v>
      </c>
      <c r="EL53" s="14">
        <f t="shared" si="21"/>
        <v>77.152613234095327</v>
      </c>
      <c r="EM53" s="14">
        <f t="shared" si="21"/>
        <v>73.206223459111257</v>
      </c>
      <c r="EN53" s="14">
        <f t="shared" si="21"/>
        <v>69.519885581331025</v>
      </c>
      <c r="EO53" s="14">
        <f t="shared" si="21"/>
        <v>65.941530402478151</v>
      </c>
      <c r="EP53" s="14">
        <f t="shared" si="21"/>
        <v>62.389496669016246</v>
      </c>
      <c r="EQ53" s="14">
        <f t="shared" si="21"/>
        <v>58.819212438467851</v>
      </c>
      <c r="ER53" s="14">
        <f t="shared" si="21"/>
        <v>55.205853150419465</v>
      </c>
      <c r="ES53" s="14">
        <f t="shared" si="21"/>
        <v>51.535213663764075</v>
      </c>
      <c r="ET53" s="14">
        <f t="shared" si="21"/>
        <v>47.139411976907418</v>
      </c>
      <c r="EU53" s="14">
        <f t="shared" si="21"/>
        <v>43.004084752485348</v>
      </c>
      <c r="EV53" s="14">
        <f t="shared" si="21"/>
        <v>39.0990866973846</v>
      </c>
      <c r="EW53" s="14">
        <f t="shared" si="21"/>
        <v>35.388869131871935</v>
      </c>
      <c r="EX53" s="14">
        <f t="shared" si="21"/>
        <v>31.841281714020422</v>
      </c>
      <c r="EY53" s="14">
        <f t="shared" si="21"/>
        <v>28.427271452205488</v>
      </c>
      <c r="EZ53" s="14">
        <f t="shared" si="21"/>
        <v>25.120595387198343</v>
      </c>
      <c r="FA53" s="14">
        <f t="shared" si="21"/>
        <v>21.897539572387011</v>
      </c>
      <c r="FB53" s="14">
        <f t="shared" si="21"/>
        <v>18.736647934748454</v>
      </c>
      <c r="FC53" s="14">
        <f t="shared" si="21"/>
        <v>15.618467791394373</v>
      </c>
      <c r="FD53" s="14">
        <f t="shared" si="21"/>
        <v>12.525318844478392</v>
      </c>
      <c r="FE53" s="12"/>
      <c r="FF53" s="12"/>
      <c r="FG53" s="12"/>
      <c r="FH53" s="12"/>
      <c r="FI53" s="12"/>
      <c r="FJ53" s="24"/>
      <c r="FK53" s="24"/>
      <c r="FL53" s="24"/>
      <c r="FM53" s="24"/>
      <c r="FN53" s="24"/>
      <c r="FO53" s="24"/>
      <c r="FP53" s="24"/>
      <c r="FQ53" s="24"/>
      <c r="FR53" s="24"/>
      <c r="FS53" s="32"/>
    </row>
    <row r="54" spans="5:175" x14ac:dyDescent="0.25">
      <c r="E54" s="46"/>
      <c r="F54" s="26">
        <v>350</v>
      </c>
      <c r="G54" s="14">
        <f t="shared" si="4"/>
        <v>337.23744556817257</v>
      </c>
      <c r="H54" s="14">
        <f t="shared" si="5"/>
        <v>324.39236669710692</v>
      </c>
      <c r="I54" s="14">
        <f t="shared" si="6"/>
        <v>311.43313481569066</v>
      </c>
      <c r="J54" s="14">
        <f t="shared" si="7"/>
        <v>298.33166080187482</v>
      </c>
      <c r="K54" s="14">
        <f t="shared" si="8"/>
        <v>285.06297133521355</v>
      </c>
      <c r="L54" s="14">
        <f t="shared" si="9"/>
        <v>271.60486993040598</v>
      </c>
      <c r="M54" s="14">
        <f t="shared" si="10"/>
        <v>257.93768586469321</v>
      </c>
      <c r="N54" s="14">
        <f t="shared" si="11"/>
        <v>244.04411726584283</v>
      </c>
      <c r="O54" s="14">
        <f t="shared" si="12"/>
        <v>229.90917874035136</v>
      </c>
      <c r="P54" s="14">
        <f t="shared" si="13"/>
        <v>215.52026930782313</v>
      </c>
      <c r="Q54" s="14">
        <f t="shared" si="14"/>
        <v>200.8673833831015</v>
      </c>
      <c r="R54" s="14">
        <f t="shared" si="15"/>
        <v>185.94349654965055</v>
      </c>
      <c r="S54" s="51">
        <f t="shared" si="16"/>
        <v>170.74516948228276</v>
      </c>
      <c r="T54" s="51">
        <f t="shared" si="17"/>
        <v>155.27342837884478</v>
      </c>
      <c r="U54" s="51">
        <f t="shared" si="18"/>
        <v>139.53499966237734</v>
      </c>
      <c r="V54" s="51">
        <f t="shared" si="18"/>
        <v>124.72765744016172</v>
      </c>
      <c r="W54" s="51">
        <f t="shared" si="18"/>
        <v>110.690025011269</v>
      </c>
      <c r="X54" s="51">
        <f t="shared" si="18"/>
        <v>97.275321655973329</v>
      </c>
      <c r="Y54" s="51">
        <f t="shared" si="18"/>
        <v>84.355605533270932</v>
      </c>
      <c r="Z54" s="51">
        <f t="shared" si="18"/>
        <v>71.819379250628259</v>
      </c>
      <c r="AA54" s="51">
        <f t="shared" si="18"/>
        <v>59.569444182296543</v>
      </c>
      <c r="AB54" s="51">
        <f t="shared" si="18"/>
        <v>47.521025459074352</v>
      </c>
      <c r="AC54" s="51">
        <f t="shared" si="18"/>
        <v>35.600174109753752</v>
      </c>
      <c r="AD54" s="51">
        <f t="shared" si="18"/>
        <v>23.742443830731546</v>
      </c>
      <c r="AE54" s="51">
        <f t="shared" si="18"/>
        <v>11.891835356131404</v>
      </c>
      <c r="AF54" s="12"/>
      <c r="AG54" s="12"/>
      <c r="AH54" s="12"/>
      <c r="AI54" s="12"/>
      <c r="AJ54" s="12"/>
      <c r="AK54" s="24"/>
      <c r="AL54" s="24"/>
      <c r="AM54" s="24"/>
      <c r="AN54" s="24"/>
      <c r="AO54" s="24"/>
      <c r="AP54" s="24"/>
      <c r="AQ54" s="24"/>
      <c r="AR54" s="24"/>
      <c r="AS54" s="24"/>
      <c r="AT54" s="32"/>
      <c r="AV54" s="47"/>
      <c r="AW54" s="26">
        <f t="shared" si="22"/>
        <v>-120197000</v>
      </c>
      <c r="AX54" s="26">
        <f t="shared" si="19"/>
        <v>-116145831.80275962</v>
      </c>
      <c r="AY54" s="26">
        <f t="shared" si="19"/>
        <v>-111861721.67273009</v>
      </c>
      <c r="AZ54" s="26">
        <f t="shared" si="19"/>
        <v>-107524180.53065053</v>
      </c>
      <c r="BA54" s="26">
        <f t="shared" si="19"/>
        <v>-103125265.07301863</v>
      </c>
      <c r="BB54" s="26">
        <f t="shared" si="19"/>
        <v>-98657761.607287034</v>
      </c>
      <c r="BC54" s="26">
        <f t="shared" ref="BC54:BC59" si="34">-($C$15*$C$16*L12)/($C$13)</f>
        <v>-94115056.728338927</v>
      </c>
      <c r="BD54" s="26">
        <f t="shared" ref="BD54:BD59" si="35">-($C$15*$C$16*M12)/($C$13)</f>
        <v>-89491025.902866215</v>
      </c>
      <c r="BE54" s="26">
        <f t="shared" ref="BE54:BE59" si="36">-($C$15*$C$16*N12)/($C$13)</f>
        <v>-84779937.856532902</v>
      </c>
      <c r="BF54" s="26">
        <f t="shared" ref="BF54:BF59" si="37">-($C$15*$C$16*O12)/($C$13)</f>
        <v>-79976373.209299207</v>
      </c>
      <c r="BG54" s="26">
        <f t="shared" ref="BG54:BG59" si="38">-($C$15*$C$16*P12)/($C$13)</f>
        <v>-75075156.384309962</v>
      </c>
      <c r="BH54" s="26">
        <f t="shared" ref="BH54:BH59" si="39">-($C$15*$C$16*Q12)/($C$13)</f>
        <v>-70071300.454516649</v>
      </c>
      <c r="BI54" s="26">
        <f t="shared" ref="BI54:BI59" si="40">-($C$15*$C$16*R12)/($C$13)</f>
        <v>-64959965.32542678</v>
      </c>
      <c r="BJ54" s="26">
        <f t="shared" ref="BJ54:BJ59" si="41">-($C$15*$C$16*S12)/($C$13)</f>
        <v>-59736430.528607726</v>
      </c>
      <c r="BK54" s="26">
        <f t="shared" ref="BK54:BK59" si="42">-($C$15*$C$16*T12)/($C$13)</f>
        <v>-54396084.978241287</v>
      </c>
      <c r="BL54" s="26">
        <f t="shared" ref="BL54:BL59" si="43">-($C$15*$C$16*U12)/($C$13)</f>
        <v>-44176141.877161458</v>
      </c>
      <c r="BM54" s="26">
        <f t="shared" ref="BM54:BM59" si="44">-($C$15*$C$16*V12)/($C$13)</f>
        <v>-39739738.7489421</v>
      </c>
      <c r="BN54" s="26">
        <f t="shared" ref="BN54:BN59" si="45">-($C$15*$C$16*W12)/($C$13)</f>
        <v>-35508993.51350987</v>
      </c>
      <c r="BO54" s="26">
        <f t="shared" ref="BO54:BO59" si="46">-($C$15*$C$16*X12)/($C$13)</f>
        <v>-31416442.28806939</v>
      </c>
      <c r="BP54" s="26">
        <f t="shared" ref="BP54:BP59" si="47">-($C$15*$C$16*Y12)/($C$13)</f>
        <v>-27427772.8951957</v>
      </c>
      <c r="BQ54" s="26">
        <f t="shared" ref="BQ54:BQ59" si="48">-($C$15*$C$16*Z12)/($C$13)</f>
        <v>-23513320.540720791</v>
      </c>
      <c r="BR54" s="26">
        <f t="shared" ref="BR54:BR59" si="49">-($C$15*$C$16*AA12)/($C$13)</f>
        <v>-19647242.813743982</v>
      </c>
      <c r="BS54" s="26">
        <f t="shared" ref="BS54:BS59" si="50">-($C$15*$C$16*AB12)/($C$13)</f>
        <v>-15806849.720070895</v>
      </c>
      <c r="BT54" s="26">
        <f t="shared" ref="BT54:BT59" si="51">-($C$15*$C$16*AC12)/($C$13)</f>
        <v>-11972065.090172093</v>
      </c>
      <c r="BU54" s="26">
        <f t="shared" ref="BU54:BU59" si="52">-($C$15*$C$16*AD12)/($C$13)</f>
        <v>-8125000.4065731168</v>
      </c>
      <c r="BV54" s="26">
        <f t="shared" ref="BV54:BV59" si="53">-($C$15*$C$16*AE12)/($C$13)</f>
        <v>-4249626.1617583362</v>
      </c>
      <c r="BW54" s="12"/>
      <c r="BX54" s="12"/>
      <c r="BY54" s="12"/>
      <c r="BZ54" s="12"/>
      <c r="CA54" s="12"/>
      <c r="CB54" s="24"/>
      <c r="CC54" s="24"/>
      <c r="CD54" s="24"/>
      <c r="CE54" s="24"/>
      <c r="CF54" s="24"/>
      <c r="CG54" s="24"/>
      <c r="CH54" s="24"/>
      <c r="CI54" s="24"/>
      <c r="CJ54" s="24"/>
      <c r="CK54" s="32"/>
      <c r="CM54" s="47"/>
      <c r="CN54" s="49">
        <v>0</v>
      </c>
      <c r="CO54" s="14">
        <f t="shared" si="25"/>
        <v>0.47951790558030016</v>
      </c>
      <c r="CP54" s="14">
        <f t="shared" ref="CP54:DM54" si="54">$C$20/($C$21-$C$22*CO54)</f>
        <v>0.62269991964003457</v>
      </c>
      <c r="CQ54" s="14">
        <f t="shared" si="54"/>
        <v>0.68365413138804965</v>
      </c>
      <c r="CR54" s="14">
        <f t="shared" si="54"/>
        <v>0.71338189544565556</v>
      </c>
      <c r="CS54" s="14">
        <f t="shared" si="54"/>
        <v>0.7288385559423749</v>
      </c>
      <c r="CT54" s="14">
        <f t="shared" si="54"/>
        <v>0.73714277157833852</v>
      </c>
      <c r="CU54" s="14">
        <f t="shared" si="54"/>
        <v>0.74168290376483481</v>
      </c>
      <c r="CV54" s="14">
        <f t="shared" si="54"/>
        <v>0.74418883943825731</v>
      </c>
      <c r="CW54" s="14">
        <f t="shared" si="54"/>
        <v>0.74557926227188609</v>
      </c>
      <c r="CX54" s="14">
        <f t="shared" si="54"/>
        <v>0.74635298434150033</v>
      </c>
      <c r="CY54" s="14">
        <f t="shared" si="54"/>
        <v>0.74678422966310576</v>
      </c>
      <c r="CZ54" s="14">
        <f t="shared" si="54"/>
        <v>0.7470248069144555</v>
      </c>
      <c r="DA54" s="14">
        <f t="shared" si="54"/>
        <v>0.74715908423415356</v>
      </c>
      <c r="DB54" s="14">
        <f t="shared" si="54"/>
        <v>0.7472340516255952</v>
      </c>
      <c r="DC54" s="14">
        <f t="shared" si="54"/>
        <v>0.74727591266789473</v>
      </c>
      <c r="DD54" s="14">
        <f t="shared" si="54"/>
        <v>0.74729928949639013</v>
      </c>
      <c r="DE54" s="14">
        <f t="shared" si="54"/>
        <v>0.74731234465992313</v>
      </c>
      <c r="DF54" s="14">
        <f t="shared" si="54"/>
        <v>0.74731963572317806</v>
      </c>
      <c r="DG54" s="14">
        <f t="shared" si="54"/>
        <v>0.74732370770676959</v>
      </c>
      <c r="DH54" s="14">
        <f t="shared" si="54"/>
        <v>0.74732598188689847</v>
      </c>
      <c r="DI54" s="14">
        <f t="shared" si="54"/>
        <v>0.74732725200984262</v>
      </c>
      <c r="DJ54" s="14">
        <f t="shared" si="54"/>
        <v>0.74732796137166757</v>
      </c>
      <c r="DK54" s="14">
        <f t="shared" si="54"/>
        <v>0.74732835754980542</v>
      </c>
      <c r="DL54" s="14">
        <f t="shared" si="54"/>
        <v>0.74732857881523174</v>
      </c>
      <c r="DM54" s="14">
        <f t="shared" si="54"/>
        <v>0.74732870239199378</v>
      </c>
      <c r="DN54" s="12"/>
      <c r="DO54" s="12"/>
      <c r="DP54" s="12"/>
      <c r="DQ54" s="12"/>
      <c r="DR54" s="12"/>
      <c r="DS54" s="24"/>
      <c r="DT54" s="24"/>
      <c r="DU54" s="24"/>
      <c r="DV54" s="24"/>
      <c r="DW54" s="24"/>
      <c r="DX54" s="24"/>
      <c r="DY54" s="24"/>
      <c r="DZ54" s="24"/>
      <c r="EA54" s="24"/>
      <c r="EB54" s="32"/>
      <c r="ED54" s="47"/>
      <c r="EE54" s="26">
        <v>350</v>
      </c>
      <c r="EF54" s="14">
        <f t="shared" si="24"/>
        <v>181.68549730333916</v>
      </c>
      <c r="EG54" s="14">
        <f t="shared" si="21"/>
        <v>130.46297867413233</v>
      </c>
      <c r="EH54" s="14">
        <f t="shared" si="21"/>
        <v>107.47746238463067</v>
      </c>
      <c r="EI54" s="14">
        <f t="shared" si="21"/>
        <v>94.972897989389622</v>
      </c>
      <c r="EJ54" s="14">
        <f t="shared" si="21"/>
        <v>87.106870148219897</v>
      </c>
      <c r="EK54" s="14">
        <f t="shared" si="21"/>
        <v>81.467969277603189</v>
      </c>
      <c r="EL54" s="14">
        <f t="shared" si="21"/>
        <v>76.934336324237051</v>
      </c>
      <c r="EM54" s="14">
        <f t="shared" si="21"/>
        <v>72.948272362857892</v>
      </c>
      <c r="EN54" s="14">
        <f t="shared" si="21"/>
        <v>69.221735345186389</v>
      </c>
      <c r="EO54" s="14">
        <f t="shared" si="21"/>
        <v>65.602298262977015</v>
      </c>
      <c r="EP54" s="14">
        <f t="shared" si="21"/>
        <v>62.00771255140635</v>
      </c>
      <c r="EQ54" s="14">
        <f t="shared" si="21"/>
        <v>58.392619285572295</v>
      </c>
      <c r="ER54" s="14">
        <f t="shared" si="21"/>
        <v>54.731216928847651</v>
      </c>
      <c r="ES54" s="14">
        <f t="shared" si="21"/>
        <v>51.008125237550509</v>
      </c>
      <c r="ET54" s="14">
        <f t="shared" si="21"/>
        <v>46.329025613851975</v>
      </c>
      <c r="EU54" s="14">
        <f t="shared" si="21"/>
        <v>42.009080394902732</v>
      </c>
      <c r="EV54" s="14">
        <f t="shared" ref="EV54:EV59" si="55">(EU54*$C$22-BN54)/($C$21-$C$22*DD54)</f>
        <v>37.994976306995369</v>
      </c>
      <c r="EW54" s="14">
        <f t="shared" ref="EW54:EW59" si="56">(EV54*$C$22-BO54)/($C$21-$C$22*DE54)</f>
        <v>34.234721257641198</v>
      </c>
      <c r="EX54" s="14">
        <f t="shared" ref="EX54:EX59" si="57">(EW54*$C$22-BP54)/($C$21-$C$22*DF54)</f>
        <v>30.68328074649278</v>
      </c>
      <c r="EY54" s="14">
        <f t="shared" ref="EY54:EY59" si="58">(EX54*$C$22-BQ54)/($C$21-$C$22*DG54)</f>
        <v>27.301585886636705</v>
      </c>
      <c r="EZ54" s="14">
        <f t="shared" ref="EZ54:EZ59" si="59">(EY54*$C$22-BR54)/($C$21-$C$22*DH54)</f>
        <v>24.055686813276736</v>
      </c>
      <c r="FA54" s="14">
        <f t="shared" ref="FA54:FA59" si="60">(EZ54*$C$22-BS54)/($C$21-$C$22*DI54)</f>
        <v>20.916019917155662</v>
      </c>
      <c r="FB54" s="14">
        <f t="shared" ref="FB54:FB59" si="61">(FA54*$C$22-BT54)/($C$21-$C$22*DJ54)</f>
        <v>17.856772557514638</v>
      </c>
      <c r="FC54" s="14">
        <f t="shared" ref="FC54:FC59" si="62">(FB54*$C$22-BU54)/($C$21-$C$22*DK54)</f>
        <v>14.855335414529138</v>
      </c>
      <c r="FD54" s="14">
        <f t="shared" ref="FD54:FD59" si="63">(FC54*$C$22-BV54)/($C$21-$C$22*DL54)</f>
        <v>11.891835356131404</v>
      </c>
      <c r="FE54" s="12"/>
      <c r="FF54" s="12"/>
      <c r="FG54" s="12"/>
      <c r="FH54" s="12"/>
      <c r="FI54" s="12"/>
      <c r="FJ54" s="24"/>
      <c r="FK54" s="24"/>
      <c r="FL54" s="24"/>
      <c r="FM54" s="24"/>
      <c r="FN54" s="24"/>
      <c r="FO54" s="24"/>
      <c r="FP54" s="24"/>
      <c r="FQ54" s="24"/>
      <c r="FR54" s="24"/>
      <c r="FS54" s="32"/>
    </row>
    <row r="55" spans="5:175" x14ac:dyDescent="0.25">
      <c r="E55" s="46"/>
      <c r="F55" s="26">
        <v>350</v>
      </c>
      <c r="G55" s="14">
        <f t="shared" si="4"/>
        <v>337.04468214879194</v>
      </c>
      <c r="H55" s="14">
        <f t="shared" si="5"/>
        <v>324.01465045570734</v>
      </c>
      <c r="I55" s="14">
        <f t="shared" si="6"/>
        <v>310.87573002219722</v>
      </c>
      <c r="J55" s="14">
        <f t="shared" si="7"/>
        <v>297.59689949898438</v>
      </c>
      <c r="K55" s="14">
        <f t="shared" si="8"/>
        <v>284.14984456057675</v>
      </c>
      <c r="L55" s="14">
        <f t="shared" si="9"/>
        <v>270.50856520331348</v>
      </c>
      <c r="M55" s="14">
        <f t="shared" si="10"/>
        <v>256.64904024297294</v>
      </c>
      <c r="N55" s="14">
        <f t="shared" si="11"/>
        <v>242.54895403156365</v>
      </c>
      <c r="O55" s="14">
        <f t="shared" si="12"/>
        <v>228.18749315541453</v>
      </c>
      <c r="P55" s="14">
        <f t="shared" si="13"/>
        <v>213.54522489930932</v>
      </c>
      <c r="Q55" s="14">
        <f t="shared" si="14"/>
        <v>198.60407485591509</v>
      </c>
      <c r="R55" s="14">
        <f t="shared" si="15"/>
        <v>183.34742865091988</v>
      </c>
      <c r="S55" s="51">
        <f t="shared" si="16"/>
        <v>167.76039293267999</v>
      </c>
      <c r="T55" s="51">
        <f t="shared" si="17"/>
        <v>151.83026434238607</v>
      </c>
      <c r="U55" s="51">
        <f t="shared" si="18"/>
        <v>135.54727321080995</v>
      </c>
      <c r="V55" s="51">
        <f t="shared" si="18"/>
        <v>120.49161194879539</v>
      </c>
      <c r="W55" s="51">
        <f t="shared" si="18"/>
        <v>106.43061949330465</v>
      </c>
      <c r="X55" s="51">
        <f t="shared" si="18"/>
        <v>93.164337009851508</v>
      </c>
      <c r="Y55" s="51">
        <f t="shared" si="18"/>
        <v>80.524407623589326</v>
      </c>
      <c r="Z55" s="51">
        <f t="shared" si="18"/>
        <v>68.368820497638069</v>
      </c>
      <c r="AA55" s="51">
        <f t="shared" si="18"/>
        <v>56.577491542217516</v>
      </c>
      <c r="AB55" s="51">
        <f t="shared" si="18"/>
        <v>45.048568526773515</v>
      </c>
      <c r="AC55" s="51">
        <f t="shared" si="18"/>
        <v>33.695357460868848</v>
      </c>
      <c r="AD55" s="51">
        <f t="shared" si="18"/>
        <v>22.443776850393331</v>
      </c>
      <c r="AE55" s="51">
        <f t="shared" si="18"/>
        <v>11.230255780053174</v>
      </c>
      <c r="AF55" s="12"/>
      <c r="AG55" s="12"/>
      <c r="AH55" s="12"/>
      <c r="AI55" s="12"/>
      <c r="AJ55" s="12"/>
      <c r="AK55" s="24"/>
      <c r="AL55" s="24"/>
      <c r="AM55" s="24"/>
      <c r="AN55" s="24"/>
      <c r="AO55" s="24"/>
      <c r="AP55" s="24"/>
      <c r="AQ55" s="24"/>
      <c r="AR55" s="24"/>
      <c r="AS55" s="24"/>
      <c r="AT55" s="32"/>
      <c r="AV55" s="47"/>
      <c r="AW55" s="26">
        <f t="shared" si="22"/>
        <v>-120197000</v>
      </c>
      <c r="AX55" s="26">
        <f t="shared" ref="AX55:AX59" si="64">-($C$15*$C$16*G13)/($C$13)</f>
        <v>-116048234.38788147</v>
      </c>
      <c r="AY55" s="26">
        <f t="shared" ref="AY55:AY59" si="65">-($C$15*$C$16*H13)/($C$13)</f>
        <v>-111710843.99600968</v>
      </c>
      <c r="AZ55" s="26">
        <f t="shared" ref="AZ55:AZ59" si="66">-($C$15*$C$16*I13)/($C$13)</f>
        <v>-107323381.76482774</v>
      </c>
      <c r="BA55" s="26">
        <f t="shared" ref="BA55:BA59" si="67">-($C$15*$C$16*J13)/($C$13)</f>
        <v>-102876989.37502442</v>
      </c>
      <c r="BB55" s="26">
        <f t="shared" ref="BB55:BB59" si="68">-($C$15*$C$16*K13)/($C$13)</f>
        <v>-98363521.782792807</v>
      </c>
      <c r="BC55" s="26">
        <f t="shared" si="34"/>
        <v>-93775398.786492705</v>
      </c>
      <c r="BD55" s="26">
        <f t="shared" si="35"/>
        <v>-89105469.629537851</v>
      </c>
      <c r="BE55" s="26">
        <f t="shared" si="36"/>
        <v>-84346887.94577384</v>
      </c>
      <c r="BF55" s="26">
        <f t="shared" si="37"/>
        <v>-79492994.566855788</v>
      </c>
      <c r="BG55" s="26">
        <f t="shared" si="38"/>
        <v>-74537205.919822678</v>
      </c>
      <c r="BH55" s="26">
        <f t="shared" si="39"/>
        <v>-69472905.956654325</v>
      </c>
      <c r="BI55" s="26">
        <f t="shared" si="40"/>
        <v>-64293339.790542603</v>
      </c>
      <c r="BJ55" s="26">
        <f t="shared" si="41"/>
        <v>-58991507.486598209</v>
      </c>
      <c r="BK55" s="26">
        <f t="shared" si="42"/>
        <v>-53560056.796416625</v>
      </c>
      <c r="BL55" s="26">
        <f t="shared" si="43"/>
        <v>-41615778.490418941</v>
      </c>
      <c r="BM55" s="26">
        <f t="shared" si="44"/>
        <v>-37380660.77322951</v>
      </c>
      <c r="BN55" s="26">
        <f t="shared" si="45"/>
        <v>-33355669.258799482</v>
      </c>
      <c r="BO55" s="26">
        <f t="shared" si="46"/>
        <v>-29476557.1652155</v>
      </c>
      <c r="BP55" s="26">
        <f t="shared" si="47"/>
        <v>-25706636.179643132</v>
      </c>
      <c r="BQ55" s="26">
        <f t="shared" si="48"/>
        <v>-22014902.489765469</v>
      </c>
      <c r="BR55" s="26">
        <f t="shared" si="49"/>
        <v>-18374970.266722601</v>
      </c>
      <c r="BS55" s="26">
        <f t="shared" si="50"/>
        <v>-14764217.366316387</v>
      </c>
      <c r="BT55" s="26">
        <f t="shared" si="51"/>
        <v>-11163105.228386406</v>
      </c>
      <c r="BU55" s="26">
        <f t="shared" si="52"/>
        <v>-7554642.4946179017</v>
      </c>
      <c r="BV55" s="26">
        <f t="shared" si="53"/>
        <v>-3923967.9730322016</v>
      </c>
      <c r="BW55" s="12"/>
      <c r="BX55" s="12"/>
      <c r="BY55" s="12"/>
      <c r="BZ55" s="12"/>
      <c r="CA55" s="12"/>
      <c r="CB55" s="24"/>
      <c r="CC55" s="24"/>
      <c r="CD55" s="24"/>
      <c r="CE55" s="24"/>
      <c r="CF55" s="24"/>
      <c r="CG55" s="24"/>
      <c r="CH55" s="24"/>
      <c r="CI55" s="24"/>
      <c r="CJ55" s="24"/>
      <c r="CK55" s="32"/>
      <c r="CM55" s="47"/>
      <c r="CN55" s="49">
        <v>0</v>
      </c>
      <c r="CO55" s="14">
        <f t="shared" si="25"/>
        <v>0.47951790558030016</v>
      </c>
      <c r="CP55" s="14">
        <f t="shared" ref="CP55:DM55" si="69">$C$20/($C$21-$C$22*CO55)</f>
        <v>0.62269991964003457</v>
      </c>
      <c r="CQ55" s="14">
        <f t="shared" si="69"/>
        <v>0.68365413138804965</v>
      </c>
      <c r="CR55" s="14">
        <f t="shared" si="69"/>
        <v>0.71338189544565556</v>
      </c>
      <c r="CS55" s="14">
        <f t="shared" si="69"/>
        <v>0.7288385559423749</v>
      </c>
      <c r="CT55" s="14">
        <f t="shared" si="69"/>
        <v>0.73714277157833852</v>
      </c>
      <c r="CU55" s="14">
        <f t="shared" si="69"/>
        <v>0.74168290376483481</v>
      </c>
      <c r="CV55" s="14">
        <f t="shared" si="69"/>
        <v>0.74418883943825731</v>
      </c>
      <c r="CW55" s="14">
        <f t="shared" si="69"/>
        <v>0.74557926227188609</v>
      </c>
      <c r="CX55" s="14">
        <f t="shared" si="69"/>
        <v>0.74635298434150033</v>
      </c>
      <c r="CY55" s="14">
        <f t="shared" si="69"/>
        <v>0.74678422966310576</v>
      </c>
      <c r="CZ55" s="14">
        <f t="shared" si="69"/>
        <v>0.7470248069144555</v>
      </c>
      <c r="DA55" s="14">
        <f t="shared" si="69"/>
        <v>0.74715908423415356</v>
      </c>
      <c r="DB55" s="14">
        <f t="shared" si="69"/>
        <v>0.7472340516255952</v>
      </c>
      <c r="DC55" s="14">
        <f t="shared" si="69"/>
        <v>0.74727591266789473</v>
      </c>
      <c r="DD55" s="14">
        <f t="shared" si="69"/>
        <v>0.74729928949639013</v>
      </c>
      <c r="DE55" s="14">
        <f t="shared" si="69"/>
        <v>0.74731234465992313</v>
      </c>
      <c r="DF55" s="14">
        <f t="shared" si="69"/>
        <v>0.74731963572317806</v>
      </c>
      <c r="DG55" s="14">
        <f t="shared" si="69"/>
        <v>0.74732370770676959</v>
      </c>
      <c r="DH55" s="14">
        <f t="shared" si="69"/>
        <v>0.74732598188689847</v>
      </c>
      <c r="DI55" s="14">
        <f t="shared" si="69"/>
        <v>0.74732725200984262</v>
      </c>
      <c r="DJ55" s="14">
        <f t="shared" si="69"/>
        <v>0.74732796137166757</v>
      </c>
      <c r="DK55" s="14">
        <f t="shared" si="69"/>
        <v>0.74732835754980542</v>
      </c>
      <c r="DL55" s="14">
        <f t="shared" si="69"/>
        <v>0.74732857881523174</v>
      </c>
      <c r="DM55" s="14">
        <f t="shared" si="69"/>
        <v>0.74732870239199378</v>
      </c>
      <c r="DN55" s="12"/>
      <c r="DO55" s="12"/>
      <c r="DP55" s="12"/>
      <c r="DQ55" s="12"/>
      <c r="DR55" s="12"/>
      <c r="DS55" s="24"/>
      <c r="DT55" s="24"/>
      <c r="DU55" s="24"/>
      <c r="DV55" s="24"/>
      <c r="DW55" s="24"/>
      <c r="DX55" s="24"/>
      <c r="DY55" s="24"/>
      <c r="DZ55" s="24"/>
      <c r="EA55" s="24"/>
      <c r="EB55" s="32"/>
      <c r="ED55" s="47"/>
      <c r="EE55" s="26">
        <v>350</v>
      </c>
      <c r="EF55" s="14">
        <f t="shared" si="24"/>
        <v>181.67385558493808</v>
      </c>
      <c r="EG55" s="14">
        <f t="shared" ref="EG55:EG59" si="70">(EF55*$C$22-AY55)/($C$21-$C$22*CO55)</f>
        <v>130.43235835284804</v>
      </c>
      <c r="EH55" s="14">
        <f t="shared" ref="EH55:EH59" si="71">(EG55*$C$22-AZ55)/($C$21-$C$22*CP55)</f>
        <v>107.42238019144233</v>
      </c>
      <c r="EI55" s="14">
        <f t="shared" ref="EI55:EI59" si="72">(EH55*$C$22-BA55)/($C$21-$C$22*CQ55)</f>
        <v>94.889544795771755</v>
      </c>
      <c r="EJ55" s="14">
        <f t="shared" ref="EJ55:EJ59" si="73">(EI55*$C$22-BB55)/($C$21-$C$22*CR55)</f>
        <v>86.992772527749992</v>
      </c>
      <c r="EK55" s="14">
        <f t="shared" ref="EK55:EK59" si="74">(EJ55*$C$22-BC55)/($C$21-$C$22*CS55)</f>
        <v>81.321580355687885</v>
      </c>
      <c r="EL55" s="14">
        <f t="shared" ref="EL55:EL59" si="75">(EK55*$C$22-BD55)/($C$21-$C$22*CT55)</f>
        <v>76.754627711719351</v>
      </c>
      <c r="EM55" s="14">
        <f t="shared" ref="EM55:EM59" si="76">(EL55*$C$22-BE55)/($C$21-$C$22*CU55)</f>
        <v>72.734368325910424</v>
      </c>
      <c r="EN55" s="14">
        <f t="shared" ref="EN55:EN59" si="77">(EM55*$C$22-BF55)/($C$21-$C$22*CV55)</f>
        <v>68.972601913303478</v>
      </c>
      <c r="EO55" s="14">
        <f t="shared" ref="EO55:EO59" si="78">(EN55*$C$22-BG55)/($C$21-$C$22*CW55)</f>
        <v>65.316480928214361</v>
      </c>
      <c r="EP55" s="14">
        <f t="shared" ref="EP55:EP59" si="79">(EO55*$C$22-BH55)/($C$21-$C$22*CX55)</f>
        <v>61.683106590126648</v>
      </c>
      <c r="EQ55" s="14">
        <f t="shared" ref="EQ55:EQ59" si="80">(EP55*$C$22-BI55)/($C$21-$C$22*CY55)</f>
        <v>58.026253512491429</v>
      </c>
      <c r="ER55" s="14">
        <f t="shared" ref="ER55:ER59" si="81">(EQ55*$C$22-BJ55)/($C$21-$C$22*CZ55)</f>
        <v>54.31903166759335</v>
      </c>
      <c r="ES55" s="14">
        <f t="shared" ref="ES55:ES59" si="82">(ER55*$C$22-BK55)/($C$21-$C$22*DA55)</f>
        <v>50.54472619427105</v>
      </c>
      <c r="ET55" s="14">
        <f t="shared" ref="ET55:ET59" si="83">(ES55*$C$22-BL55)/($C$21-$C$22*DB55)</f>
        <v>45.506793922948063</v>
      </c>
      <c r="EU55" s="14">
        <f t="shared" ref="EU55:EU59" si="84">(ET55*$C$22-BM55)/($C$21-$C$22*DC55)</f>
        <v>40.95608562078818</v>
      </c>
      <c r="EV55" s="14">
        <f t="shared" si="55"/>
        <v>36.807760363785263</v>
      </c>
      <c r="EW55" s="14">
        <f t="shared" si="56"/>
        <v>32.986866037766028</v>
      </c>
      <c r="EX55" s="14">
        <f t="shared" si="57"/>
        <v>29.430767197755863</v>
      </c>
      <c r="EY55" s="14">
        <f t="shared" si="58"/>
        <v>26.086991078152671</v>
      </c>
      <c r="EZ55" s="14">
        <f t="shared" si="59"/>
        <v>22.911468618126783</v>
      </c>
      <c r="FA55" s="14">
        <f t="shared" si="60"/>
        <v>19.867085727852789</v>
      </c>
      <c r="FB55" s="14">
        <f t="shared" si="61"/>
        <v>16.922486570050058</v>
      </c>
      <c r="FC55" s="14">
        <f t="shared" si="62"/>
        <v>14.051085758554651</v>
      </c>
      <c r="FD55" s="14">
        <f t="shared" si="63"/>
        <v>11.230255780053174</v>
      </c>
      <c r="FE55" s="12"/>
      <c r="FF55" s="12"/>
      <c r="FG55" s="12"/>
      <c r="FH55" s="12"/>
      <c r="FI55" s="12"/>
      <c r="FJ55" s="24"/>
      <c r="FK55" s="24"/>
      <c r="FL55" s="24"/>
      <c r="FM55" s="24"/>
      <c r="FN55" s="24"/>
      <c r="FO55" s="24"/>
      <c r="FP55" s="24"/>
      <c r="FQ55" s="24"/>
      <c r="FR55" s="24"/>
      <c r="FS55" s="32"/>
    </row>
    <row r="56" spans="5:175" x14ac:dyDescent="0.25">
      <c r="E56" s="46"/>
      <c r="F56" s="26">
        <v>350</v>
      </c>
      <c r="G56" s="14">
        <f t="shared" si="4"/>
        <v>336.88636058943951</v>
      </c>
      <c r="H56" s="14">
        <f t="shared" si="5"/>
        <v>323.70237758510905</v>
      </c>
      <c r="I56" s="14">
        <f t="shared" si="6"/>
        <v>310.41105866529404</v>
      </c>
      <c r="J56" s="14">
        <f t="shared" si="7"/>
        <v>296.97813149792296</v>
      </c>
      <c r="K56" s="14">
        <f t="shared" si="8"/>
        <v>283.37150896073098</v>
      </c>
      <c r="L56" s="14">
        <f t="shared" si="9"/>
        <v>269.56077226907939</v>
      </c>
      <c r="M56" s="14">
        <f t="shared" si="10"/>
        <v>255.51666982195317</v>
      </c>
      <c r="N56" s="14">
        <f t="shared" si="11"/>
        <v>241.21062902885771</v>
      </c>
      <c r="O56" s="14">
        <f t="shared" si="12"/>
        <v>226.61427850907336</v>
      </c>
      <c r="P56" s="14">
        <f t="shared" si="13"/>
        <v>211.69897891733598</v>
      </c>
      <c r="Q56" s="14">
        <f t="shared" si="14"/>
        <v>196.4353623855651</v>
      </c>
      <c r="R56" s="14">
        <f t="shared" si="15"/>
        <v>180.79288341594389</v>
      </c>
      <c r="S56" s="51">
        <f t="shared" si="16"/>
        <v>164.7393883767721</v>
      </c>
      <c r="T56" s="51">
        <f t="shared" si="17"/>
        <v>148.24071705840669</v>
      </c>
      <c r="U56" s="51">
        <f t="shared" si="18"/>
        <v>131.26035877080716</v>
      </c>
      <c r="V56" s="51">
        <f t="shared" si="18"/>
        <v>115.88286290340639</v>
      </c>
      <c r="W56" s="51">
        <f t="shared" si="18"/>
        <v>101.77812801667906</v>
      </c>
      <c r="X56" s="51">
        <f t="shared" si="18"/>
        <v>88.674193880697018</v>
      </c>
      <c r="Y56" s="51">
        <f t="shared" si="18"/>
        <v>76.349096013566879</v>
      </c>
      <c r="Z56" s="51">
        <f t="shared" si="18"/>
        <v>64.621172252885614</v>
      </c>
      <c r="AA56" s="51">
        <f t="shared" si="18"/>
        <v>53.341211695487814</v>
      </c>
      <c r="AB56" s="51">
        <f t="shared" si="18"/>
        <v>42.386091100445718</v>
      </c>
      <c r="AC56" s="51">
        <f t="shared" si="18"/>
        <v>31.653604682235457</v>
      </c>
      <c r="AD56" s="51">
        <f t="shared" si="18"/>
        <v>21.05824201635755</v>
      </c>
      <c r="AE56" s="51">
        <f t="shared" si="18"/>
        <v>10.527707036516487</v>
      </c>
      <c r="AF56" s="12"/>
      <c r="AG56" s="12"/>
      <c r="AH56" s="12"/>
      <c r="AI56" s="12"/>
      <c r="AJ56" s="12"/>
      <c r="AK56" s="24"/>
      <c r="AL56" s="24"/>
      <c r="AM56" s="24"/>
      <c r="AN56" s="24"/>
      <c r="AO56" s="24"/>
      <c r="AP56" s="24"/>
      <c r="AQ56" s="24"/>
      <c r="AR56" s="24"/>
      <c r="AS56" s="24"/>
      <c r="AT56" s="32"/>
      <c r="AV56" s="47"/>
      <c r="AW56" s="26">
        <f t="shared" si="22"/>
        <v>-120197000</v>
      </c>
      <c r="AX56" s="26">
        <f t="shared" si="64"/>
        <v>-115976295.20058057</v>
      </c>
      <c r="AY56" s="26">
        <f t="shared" si="65"/>
        <v>-111597360.89052622</v>
      </c>
      <c r="AZ56" s="26">
        <f t="shared" si="66"/>
        <v>-107170630.92201063</v>
      </c>
      <c r="BA56" s="26">
        <f t="shared" si="67"/>
        <v>-102686485.30569646</v>
      </c>
      <c r="BB56" s="26">
        <f t="shared" si="68"/>
        <v>-98135982.508221984</v>
      </c>
      <c r="BC56" s="26">
        <f t="shared" si="34"/>
        <v>-93510690.749655321</v>
      </c>
      <c r="BD56" s="26">
        <f t="shared" si="35"/>
        <v>-88802526.901051491</v>
      </c>
      <c r="BE56" s="26">
        <f t="shared" si="36"/>
        <v>-84003599.322379738</v>
      </c>
      <c r="BF56" s="26">
        <f t="shared" si="37"/>
        <v>-79106050.794836879</v>
      </c>
      <c r="BG56" s="26">
        <f t="shared" si="38"/>
        <v>-74101897.438726202</v>
      </c>
      <c r="BH56" s="26">
        <f t="shared" si="39"/>
        <v>-68982859.150609002</v>
      </c>
      <c r="BI56" s="26">
        <f t="shared" si="40"/>
        <v>-63740176.622296914</v>
      </c>
      <c r="BJ56" s="26">
        <f t="shared" si="41"/>
        <v>-58364409.398709491</v>
      </c>
      <c r="BK56" s="26">
        <f t="shared" si="42"/>
        <v>-52845208.668519095</v>
      </c>
      <c r="BL56" s="26">
        <f t="shared" si="43"/>
        <v>-38633925.479871593</v>
      </c>
      <c r="BM56" s="26">
        <f t="shared" si="44"/>
        <v>-34679993.635980502</v>
      </c>
      <c r="BN56" s="26">
        <f t="shared" si="45"/>
        <v>-30929425.70549193</v>
      </c>
      <c r="BO56" s="26">
        <f t="shared" si="46"/>
        <v>-27321569.861724276</v>
      </c>
      <c r="BP56" s="26">
        <f t="shared" si="47"/>
        <v>-23819166.645054586</v>
      </c>
      <c r="BQ56" s="26">
        <f t="shared" si="48"/>
        <v>-20391390.897886492</v>
      </c>
      <c r="BR56" s="26">
        <f t="shared" si="49"/>
        <v>-17012582.271794476</v>
      </c>
      <c r="BS56" s="26">
        <f t="shared" si="50"/>
        <v>-13661242.014851075</v>
      </c>
      <c r="BT56" s="26">
        <f t="shared" si="51"/>
        <v>-10319243.435597237</v>
      </c>
      <c r="BU56" s="26">
        <f t="shared" si="52"/>
        <v>-6971214.175389397</v>
      </c>
      <c r="BV56" s="26">
        <f t="shared" si="53"/>
        <v>-3604056.8183157137</v>
      </c>
      <c r="BW56" s="12"/>
      <c r="BX56" s="12"/>
      <c r="BY56" s="12"/>
      <c r="BZ56" s="12"/>
      <c r="CA56" s="12"/>
      <c r="CB56" s="24"/>
      <c r="CC56" s="24"/>
      <c r="CD56" s="24"/>
      <c r="CE56" s="24"/>
      <c r="CF56" s="24"/>
      <c r="CG56" s="24"/>
      <c r="CH56" s="24"/>
      <c r="CI56" s="24"/>
      <c r="CJ56" s="24"/>
      <c r="CK56" s="32"/>
      <c r="CM56" s="47"/>
      <c r="CN56" s="49">
        <v>0</v>
      </c>
      <c r="CO56" s="14">
        <f t="shared" si="25"/>
        <v>0.47951790558030016</v>
      </c>
      <c r="CP56" s="14">
        <f t="shared" ref="CP56:DM56" si="85">$C$20/($C$21-$C$22*CO56)</f>
        <v>0.62269991964003457</v>
      </c>
      <c r="CQ56" s="14">
        <f t="shared" si="85"/>
        <v>0.68365413138804965</v>
      </c>
      <c r="CR56" s="14">
        <f t="shared" si="85"/>
        <v>0.71338189544565556</v>
      </c>
      <c r="CS56" s="14">
        <f t="shared" si="85"/>
        <v>0.7288385559423749</v>
      </c>
      <c r="CT56" s="14">
        <f t="shared" si="85"/>
        <v>0.73714277157833852</v>
      </c>
      <c r="CU56" s="14">
        <f t="shared" si="85"/>
        <v>0.74168290376483481</v>
      </c>
      <c r="CV56" s="14">
        <f t="shared" si="85"/>
        <v>0.74418883943825731</v>
      </c>
      <c r="CW56" s="14">
        <f t="shared" si="85"/>
        <v>0.74557926227188609</v>
      </c>
      <c r="CX56" s="14">
        <f t="shared" si="85"/>
        <v>0.74635298434150033</v>
      </c>
      <c r="CY56" s="14">
        <f t="shared" si="85"/>
        <v>0.74678422966310576</v>
      </c>
      <c r="CZ56" s="14">
        <f t="shared" si="85"/>
        <v>0.7470248069144555</v>
      </c>
      <c r="DA56" s="14">
        <f t="shared" si="85"/>
        <v>0.74715908423415356</v>
      </c>
      <c r="DB56" s="14">
        <f t="shared" si="85"/>
        <v>0.7472340516255952</v>
      </c>
      <c r="DC56" s="14">
        <f t="shared" si="85"/>
        <v>0.74727591266789473</v>
      </c>
      <c r="DD56" s="14">
        <f t="shared" si="85"/>
        <v>0.74729928949639013</v>
      </c>
      <c r="DE56" s="14">
        <f t="shared" si="85"/>
        <v>0.74731234465992313</v>
      </c>
      <c r="DF56" s="14">
        <f t="shared" si="85"/>
        <v>0.74731963572317806</v>
      </c>
      <c r="DG56" s="14">
        <f t="shared" si="85"/>
        <v>0.74732370770676959</v>
      </c>
      <c r="DH56" s="14">
        <f t="shared" si="85"/>
        <v>0.74732598188689847</v>
      </c>
      <c r="DI56" s="14">
        <f t="shared" si="85"/>
        <v>0.74732725200984262</v>
      </c>
      <c r="DJ56" s="14">
        <f t="shared" si="85"/>
        <v>0.74732796137166757</v>
      </c>
      <c r="DK56" s="14">
        <f t="shared" si="85"/>
        <v>0.74732835754980542</v>
      </c>
      <c r="DL56" s="14">
        <f t="shared" si="85"/>
        <v>0.74732857881523174</v>
      </c>
      <c r="DM56" s="14">
        <f t="shared" si="85"/>
        <v>0.74732870239199378</v>
      </c>
      <c r="DN56" s="12"/>
      <c r="DO56" s="12"/>
      <c r="DP56" s="12"/>
      <c r="DQ56" s="12"/>
      <c r="DR56" s="12"/>
      <c r="DS56" s="24"/>
      <c r="DT56" s="24"/>
      <c r="DU56" s="24"/>
      <c r="DV56" s="24"/>
      <c r="DW56" s="24"/>
      <c r="DX56" s="24"/>
      <c r="DY56" s="24"/>
      <c r="DZ56" s="24"/>
      <c r="EA56" s="24"/>
      <c r="EB56" s="32"/>
      <c r="ED56" s="47"/>
      <c r="EE56" s="26">
        <v>350</v>
      </c>
      <c r="EF56" s="14">
        <f t="shared" si="24"/>
        <v>181.66527445846452</v>
      </c>
      <c r="EG56" s="14">
        <f t="shared" si="70"/>
        <v>130.40943629885243</v>
      </c>
      <c r="EH56" s="14">
        <f t="shared" si="71"/>
        <v>107.38073213483557</v>
      </c>
      <c r="EI56" s="14">
        <f t="shared" si="72"/>
        <v>94.826027320221101</v>
      </c>
      <c r="EJ56" s="14">
        <f t="shared" si="73"/>
        <v>86.905224961423798</v>
      </c>
      <c r="EK56" s="14">
        <f t="shared" si="74"/>
        <v>81.208506092057632</v>
      </c>
      <c r="EL56" s="14">
        <f t="shared" si="75"/>
        <v>76.61487006488764</v>
      </c>
      <c r="EM56" s="14">
        <f t="shared" si="76"/>
        <v>72.566812105052406</v>
      </c>
      <c r="EN56" s="14">
        <f t="shared" si="77"/>
        <v>68.775909984174419</v>
      </c>
      <c r="EO56" s="14">
        <f t="shared" si="78"/>
        <v>65.088859970665354</v>
      </c>
      <c r="EP56" s="14">
        <f t="shared" si="79"/>
        <v>61.422088215217734</v>
      </c>
      <c r="EQ56" s="14">
        <f t="shared" si="80"/>
        <v>57.728473622580225</v>
      </c>
      <c r="ER56" s="14">
        <f t="shared" si="81"/>
        <v>53.979989973198705</v>
      </c>
      <c r="ES56" s="14">
        <f t="shared" si="82"/>
        <v>50.158507356267236</v>
      </c>
      <c r="ET56" s="14">
        <f t="shared" si="83"/>
        <v>44.663886632095625</v>
      </c>
      <c r="EU56" s="14">
        <f t="shared" si="84"/>
        <v>39.824140150269479</v>
      </c>
      <c r="EV56" s="14">
        <f t="shared" si="55"/>
        <v>35.510808276866769</v>
      </c>
      <c r="EW56" s="14">
        <f t="shared" si="56"/>
        <v>31.617015260044276</v>
      </c>
      <c r="EX56" s="14">
        <f t="shared" si="57"/>
        <v>28.056161969182583</v>
      </c>
      <c r="EY56" s="14">
        <f t="shared" si="58"/>
        <v>24.757898847518273</v>
      </c>
      <c r="EZ56" s="14">
        <f t="shared" si="59"/>
        <v>21.664930709952866</v>
      </c>
      <c r="FA56" s="14">
        <f t="shared" si="60"/>
        <v>18.730467243206022</v>
      </c>
      <c r="FB56" s="14">
        <f t="shared" si="61"/>
        <v>15.916183263264667</v>
      </c>
      <c r="FC56" s="14">
        <f t="shared" si="62"/>
        <v>13.190585678574568</v>
      </c>
      <c r="FD56" s="14">
        <f t="shared" si="63"/>
        <v>10.527707036516487</v>
      </c>
      <c r="FE56" s="12"/>
      <c r="FF56" s="12"/>
      <c r="FG56" s="12"/>
      <c r="FH56" s="12"/>
      <c r="FI56" s="12"/>
      <c r="FJ56" s="24"/>
      <c r="FK56" s="24"/>
      <c r="FL56" s="24"/>
      <c r="FM56" s="24"/>
      <c r="FN56" s="24"/>
      <c r="FO56" s="24"/>
      <c r="FP56" s="24"/>
      <c r="FQ56" s="24"/>
      <c r="FR56" s="24"/>
      <c r="FS56" s="32"/>
    </row>
    <row r="57" spans="5:175" x14ac:dyDescent="0.25">
      <c r="E57" s="46"/>
      <c r="F57" s="26">
        <v>350</v>
      </c>
      <c r="G57" s="14">
        <f t="shared" si="4"/>
        <v>336.76361143655618</v>
      </c>
      <c r="H57" s="14">
        <f t="shared" si="5"/>
        <v>323.45827909930381</v>
      </c>
      <c r="I57" s="14">
        <f t="shared" si="6"/>
        <v>310.04381818571926</v>
      </c>
      <c r="J57" s="14">
        <f t="shared" si="7"/>
        <v>296.48227688849551</v>
      </c>
      <c r="K57" s="14">
        <f t="shared" si="8"/>
        <v>282.7372310710665</v>
      </c>
      <c r="L57" s="14">
        <f t="shared" si="9"/>
        <v>268.7730508700181</v>
      </c>
      <c r="M57" s="14">
        <f t="shared" si="10"/>
        <v>254.5541233926559</v>
      </c>
      <c r="N57" s="14">
        <f t="shared" si="11"/>
        <v>240.04401134220117</v>
      </c>
      <c r="O57" s="14">
        <f t="shared" si="12"/>
        <v>225.2045225528941</v>
      </c>
      <c r="P57" s="14">
        <f t="shared" si="13"/>
        <v>209.99465978896188</v>
      </c>
      <c r="Q57" s="14">
        <f t="shared" si="14"/>
        <v>194.36941346869858</v>
      </c>
      <c r="R57" s="14">
        <f t="shared" si="15"/>
        <v>178.27835189730351</v>
      </c>
      <c r="S57" s="51">
        <f t="shared" si="16"/>
        <v>161.66395376270339</v>
      </c>
      <c r="T57" s="51">
        <f t="shared" si="17"/>
        <v>144.45961564117943</v>
      </c>
      <c r="U57" s="51">
        <f t="shared" si="18"/>
        <v>126.58725257535146</v>
      </c>
      <c r="V57" s="51">
        <f t="shared" si="18"/>
        <v>110.79722205242092</v>
      </c>
      <c r="W57" s="51">
        <f t="shared" si="18"/>
        <v>96.626034085334595</v>
      </c>
      <c r="X57" s="51">
        <f t="shared" si="18"/>
        <v>83.704553945915464</v>
      </c>
      <c r="Y57" s="51">
        <f t="shared" si="18"/>
        <v>71.739965176974536</v>
      </c>
      <c r="Z57" s="51">
        <f t="shared" si="18"/>
        <v>60.499337418542858</v>
      </c>
      <c r="AA57" s="51">
        <f t="shared" si="18"/>
        <v>49.796680474424647</v>
      </c>
      <c r="AB57" s="51">
        <f t="shared" si="18"/>
        <v>39.482714642628011</v>
      </c>
      <c r="AC57" s="51">
        <f t="shared" si="18"/>
        <v>29.436744887496332</v>
      </c>
      <c r="AD57" s="51">
        <f t="shared" si="18"/>
        <v>19.560147352633777</v>
      </c>
      <c r="AE57" s="51">
        <f t="shared" si="18"/>
        <v>9.7710679947909647</v>
      </c>
      <c r="AF57" s="12"/>
      <c r="AG57" s="12"/>
      <c r="AH57" s="12"/>
      <c r="AI57" s="12"/>
      <c r="AJ57" s="12"/>
      <c r="AK57" s="24"/>
      <c r="AL57" s="24"/>
      <c r="AM57" s="24"/>
      <c r="AN57" s="24"/>
      <c r="AO57" s="24"/>
      <c r="AP57" s="24"/>
      <c r="AQ57" s="24"/>
      <c r="AR57" s="24"/>
      <c r="AS57" s="24"/>
      <c r="AT57" s="32"/>
      <c r="AV57" s="47"/>
      <c r="AW57" s="26">
        <f t="shared" si="22"/>
        <v>-120197000</v>
      </c>
      <c r="AX57" s="26">
        <f t="shared" si="64"/>
        <v>-115928513.41025217</v>
      </c>
      <c r="AY57" s="26">
        <f t="shared" si="65"/>
        <v>-111520739.08513848</v>
      </c>
      <c r="AZ57" s="26">
        <f t="shared" si="66"/>
        <v>-107066511.18356922</v>
      </c>
      <c r="BA57" s="26">
        <f t="shared" si="67"/>
        <v>-102555631.70027235</v>
      </c>
      <c r="BB57" s="26">
        <f t="shared" si="68"/>
        <v>-97978540.116575673</v>
      </c>
      <c r="BC57" s="26">
        <f t="shared" si="34"/>
        <v>-93326125.180563033</v>
      </c>
      <c r="BD57" s="26">
        <f t="shared" si="35"/>
        <v>-88589539.039337888</v>
      </c>
      <c r="BE57" s="26">
        <f t="shared" si="36"/>
        <v>-83760008.865325153</v>
      </c>
      <c r="BF57" s="26">
        <f t="shared" si="37"/>
        <v>-78828640.513108045</v>
      </c>
      <c r="BG57" s="26">
        <f t="shared" si="38"/>
        <v>-73786207.961176023</v>
      </c>
      <c r="BH57" s="26">
        <f t="shared" si="39"/>
        <v>-68622921.282970235</v>
      </c>
      <c r="BI57" s="26">
        <f t="shared" si="40"/>
        <v>-63328164.592656299</v>
      </c>
      <c r="BJ57" s="26">
        <f t="shared" si="41"/>
        <v>-57890193.748621441</v>
      </c>
      <c r="BK57" s="26">
        <f t="shared" si="42"/>
        <v>-52295781.479595944</v>
      </c>
      <c r="BL57" s="26">
        <f t="shared" si="43"/>
        <v>-35101617.456979588</v>
      </c>
      <c r="BM57" s="26">
        <f t="shared" si="44"/>
        <v>-31542234.922748625</v>
      </c>
      <c r="BN57" s="26">
        <f t="shared" si="45"/>
        <v>-28159487.158363443</v>
      </c>
      <c r="BO57" s="26">
        <f t="shared" si="46"/>
        <v>-24899114.606783923</v>
      </c>
      <c r="BP57" s="26">
        <f t="shared" si="47"/>
        <v>-21726615.578829363</v>
      </c>
      <c r="BQ57" s="26">
        <f t="shared" si="48"/>
        <v>-18614039.782735907</v>
      </c>
      <c r="BR57" s="26">
        <f t="shared" si="49"/>
        <v>-15538637.736994157</v>
      </c>
      <c r="BS57" s="26">
        <f t="shared" si="50"/>
        <v>-12481809.634378176</v>
      </c>
      <c r="BT57" s="26">
        <f t="shared" si="51"/>
        <v>-9428290.6037820969</v>
      </c>
      <c r="BU57" s="26">
        <f t="shared" si="52"/>
        <v>-6365522.7322221203</v>
      </c>
      <c r="BV57" s="26">
        <f t="shared" si="53"/>
        <v>-3283174.4913027002</v>
      </c>
      <c r="BW57" s="12"/>
      <c r="BX57" s="12"/>
      <c r="BY57" s="12"/>
      <c r="BZ57" s="12"/>
      <c r="CA57" s="12"/>
      <c r="CB57" s="24"/>
      <c r="CC57" s="24"/>
      <c r="CD57" s="24"/>
      <c r="CE57" s="24"/>
      <c r="CF57" s="24"/>
      <c r="CG57" s="24"/>
      <c r="CH57" s="24"/>
      <c r="CI57" s="24"/>
      <c r="CJ57" s="24"/>
      <c r="CK57" s="32"/>
      <c r="CM57" s="47"/>
      <c r="CN57" s="49">
        <v>0</v>
      </c>
      <c r="CO57" s="14">
        <f t="shared" si="25"/>
        <v>0.47951790558030016</v>
      </c>
      <c r="CP57" s="14">
        <f t="shared" ref="CP57:DM57" si="86">$C$20/($C$21-$C$22*CO57)</f>
        <v>0.62269991964003457</v>
      </c>
      <c r="CQ57" s="14">
        <f t="shared" si="86"/>
        <v>0.68365413138804965</v>
      </c>
      <c r="CR57" s="14">
        <f t="shared" si="86"/>
        <v>0.71338189544565556</v>
      </c>
      <c r="CS57" s="14">
        <f t="shared" si="86"/>
        <v>0.7288385559423749</v>
      </c>
      <c r="CT57" s="14">
        <f t="shared" si="86"/>
        <v>0.73714277157833852</v>
      </c>
      <c r="CU57" s="14">
        <f t="shared" si="86"/>
        <v>0.74168290376483481</v>
      </c>
      <c r="CV57" s="14">
        <f t="shared" si="86"/>
        <v>0.74418883943825731</v>
      </c>
      <c r="CW57" s="14">
        <f t="shared" si="86"/>
        <v>0.74557926227188609</v>
      </c>
      <c r="CX57" s="14">
        <f t="shared" si="86"/>
        <v>0.74635298434150033</v>
      </c>
      <c r="CY57" s="14">
        <f t="shared" si="86"/>
        <v>0.74678422966310576</v>
      </c>
      <c r="CZ57" s="14">
        <f t="shared" si="86"/>
        <v>0.7470248069144555</v>
      </c>
      <c r="DA57" s="14">
        <f t="shared" si="86"/>
        <v>0.74715908423415356</v>
      </c>
      <c r="DB57" s="14">
        <f t="shared" si="86"/>
        <v>0.7472340516255952</v>
      </c>
      <c r="DC57" s="14">
        <f t="shared" si="86"/>
        <v>0.74727591266789473</v>
      </c>
      <c r="DD57" s="14">
        <f t="shared" si="86"/>
        <v>0.74729928949639013</v>
      </c>
      <c r="DE57" s="14">
        <f t="shared" si="86"/>
        <v>0.74731234465992313</v>
      </c>
      <c r="DF57" s="14">
        <f t="shared" si="86"/>
        <v>0.74731963572317806</v>
      </c>
      <c r="DG57" s="14">
        <f t="shared" si="86"/>
        <v>0.74732370770676959</v>
      </c>
      <c r="DH57" s="14">
        <f t="shared" si="86"/>
        <v>0.74732598188689847</v>
      </c>
      <c r="DI57" s="14">
        <f t="shared" si="86"/>
        <v>0.74732725200984262</v>
      </c>
      <c r="DJ57" s="14">
        <f t="shared" si="86"/>
        <v>0.74732796137166757</v>
      </c>
      <c r="DK57" s="14">
        <f t="shared" si="86"/>
        <v>0.74732835754980542</v>
      </c>
      <c r="DL57" s="14">
        <f t="shared" si="86"/>
        <v>0.74732857881523174</v>
      </c>
      <c r="DM57" s="14">
        <f t="shared" si="86"/>
        <v>0.74732870239199378</v>
      </c>
      <c r="DN57" s="12"/>
      <c r="DO57" s="12"/>
      <c r="DP57" s="12"/>
      <c r="DQ57" s="12"/>
      <c r="DR57" s="12"/>
      <c r="DS57" s="24"/>
      <c r="DT57" s="24"/>
      <c r="DU57" s="24"/>
      <c r="DV57" s="24"/>
      <c r="DW57" s="24"/>
      <c r="DX57" s="24"/>
      <c r="DY57" s="24"/>
      <c r="DZ57" s="24"/>
      <c r="EA57" s="24"/>
      <c r="EB57" s="32"/>
      <c r="ED57" s="47"/>
      <c r="EE57" s="26">
        <v>350</v>
      </c>
      <c r="EF57" s="14">
        <f t="shared" si="24"/>
        <v>181.65957490024979</v>
      </c>
      <c r="EG57" s="14">
        <f t="shared" si="70"/>
        <v>130.39401843016694</v>
      </c>
      <c r="EH57" s="14">
        <f t="shared" si="71"/>
        <v>107.35248470756363</v>
      </c>
      <c r="EI57" s="14">
        <f t="shared" si="72"/>
        <v>94.782655073961806</v>
      </c>
      <c r="EJ57" s="14">
        <f t="shared" si="73"/>
        <v>86.845068798736065</v>
      </c>
      <c r="EK57" s="14">
        <f t="shared" si="74"/>
        <v>81.130318835661342</v>
      </c>
      <c r="EL57" s="14">
        <f t="shared" si="75"/>
        <v>76.517584029013193</v>
      </c>
      <c r="EM57" s="14">
        <f t="shared" si="76"/>
        <v>72.449319067316054</v>
      </c>
      <c r="EN57" s="14">
        <f t="shared" si="77"/>
        <v>68.636859026404224</v>
      </c>
      <c r="EO57" s="14">
        <f t="shared" si="78"/>
        <v>64.926467981891662</v>
      </c>
      <c r="EP57" s="14">
        <f t="shared" si="79"/>
        <v>61.233951781462686</v>
      </c>
      <c r="EQ57" s="14">
        <f t="shared" si="80"/>
        <v>57.511368052692546</v>
      </c>
      <c r="ER57" s="14">
        <f t="shared" si="81"/>
        <v>53.729639631421954</v>
      </c>
      <c r="ES57" s="14">
        <f t="shared" si="82"/>
        <v>49.869310015147001</v>
      </c>
      <c r="ET57" s="14">
        <f t="shared" si="83"/>
        <v>43.791157345061222</v>
      </c>
      <c r="EU57" s="14">
        <f t="shared" si="84"/>
        <v>38.588655433596401</v>
      </c>
      <c r="EV57" s="14">
        <f t="shared" si="55"/>
        <v>34.072587617299483</v>
      </c>
      <c r="EW57" s="14">
        <f t="shared" si="56"/>
        <v>30.091869303065376</v>
      </c>
      <c r="EX57" s="14">
        <f t="shared" si="57"/>
        <v>26.527376023546182</v>
      </c>
      <c r="EY57" s="14">
        <f t="shared" si="58"/>
        <v>23.284984288285315</v>
      </c>
      <c r="EZ57" s="14">
        <f t="shared" si="59"/>
        <v>20.29017183866068</v>
      </c>
      <c r="FA57" s="14">
        <f t="shared" si="60"/>
        <v>17.483812096437521</v>
      </c>
      <c r="FB57" s="14">
        <f t="shared" si="61"/>
        <v>14.818892093020358</v>
      </c>
      <c r="FC57" s="14">
        <f t="shared" si="62"/>
        <v>12.257948994579648</v>
      </c>
      <c r="FD57" s="14">
        <f t="shared" si="63"/>
        <v>9.7710679947909647</v>
      </c>
      <c r="FE57" s="12"/>
      <c r="FF57" s="12"/>
      <c r="FG57" s="12"/>
      <c r="FH57" s="12"/>
      <c r="FI57" s="12"/>
      <c r="FJ57" s="24"/>
      <c r="FK57" s="24"/>
      <c r="FL57" s="24"/>
      <c r="FM57" s="24"/>
      <c r="FN57" s="24"/>
      <c r="FO57" s="24"/>
      <c r="FP57" s="24"/>
      <c r="FQ57" s="24"/>
      <c r="FR57" s="24"/>
      <c r="FS57" s="32"/>
    </row>
    <row r="58" spans="5:175" x14ac:dyDescent="0.25">
      <c r="E58" s="46"/>
      <c r="F58" s="26">
        <v>350</v>
      </c>
      <c r="G58" s="14">
        <f t="shared" si="4"/>
        <v>336.67881600431377</v>
      </c>
      <c r="H58" s="14">
        <f t="shared" si="5"/>
        <v>323.2874406408356</v>
      </c>
      <c r="I58" s="14">
        <f t="shared" si="6"/>
        <v>309.78207986677063</v>
      </c>
      <c r="J58" s="14">
        <f t="shared" si="7"/>
        <v>296.12061463433974</v>
      </c>
      <c r="K58" s="14">
        <f t="shared" si="8"/>
        <v>282.26162309856255</v>
      </c>
      <c r="L58" s="14">
        <f t="shared" si="9"/>
        <v>268.16331159998839</v>
      </c>
      <c r="M58" s="14">
        <f t="shared" si="10"/>
        <v>253.78231342195301</v>
      </c>
      <c r="N58" s="14">
        <f t="shared" si="11"/>
        <v>239.07230337616917</v>
      </c>
      <c r="O58" s="14">
        <f t="shared" si="12"/>
        <v>223.98236234966816</v>
      </c>
      <c r="P58" s="14">
        <f t="shared" si="13"/>
        <v>208.45500809341038</v>
      </c>
      <c r="Q58" s="14">
        <f t="shared" si="14"/>
        <v>192.42378552245063</v>
      </c>
      <c r="R58" s="14">
        <f t="shared" si="15"/>
        <v>175.8102800498105</v>
      </c>
      <c r="S58" s="51">
        <f t="shared" si="16"/>
        <v>158.52037894760679</v>
      </c>
      <c r="T58" s="51">
        <f t="shared" si="17"/>
        <v>140.43955576812556</v>
      </c>
      <c r="U58" s="51">
        <f t="shared" si="18"/>
        <v>121.42688801770997</v>
      </c>
      <c r="V58" s="51">
        <f t="shared" si="18"/>
        <v>105.11228670780093</v>
      </c>
      <c r="W58" s="51">
        <f t="shared" si="18"/>
        <v>90.84970733873871</v>
      </c>
      <c r="X58" s="51">
        <f t="shared" si="18"/>
        <v>78.139175866495421</v>
      </c>
      <c r="Y58" s="51">
        <f t="shared" si="18"/>
        <v>66.594443413823754</v>
      </c>
      <c r="Z58" s="51">
        <f t="shared" si="18"/>
        <v>55.916482586724285</v>
      </c>
      <c r="AA58" s="51">
        <f t="shared" si="18"/>
        <v>45.873073928629573</v>
      </c>
      <c r="AB58" s="51">
        <f t="shared" si="18"/>
        <v>36.283028988985009</v>
      </c>
      <c r="AC58" s="51">
        <f t="shared" si="18"/>
        <v>27.003923296639005</v>
      </c>
      <c r="AD58" s="51">
        <f t="shared" si="18"/>
        <v>17.922458244703357</v>
      </c>
      <c r="AE58" s="51">
        <f t="shared" si="18"/>
        <v>8.9467530966715145</v>
      </c>
      <c r="AF58" s="12"/>
      <c r="AG58" s="12"/>
      <c r="AH58" s="12"/>
      <c r="AI58" s="12"/>
      <c r="AJ58" s="12"/>
      <c r="AK58" s="24"/>
      <c r="AL58" s="24"/>
      <c r="AM58" s="24"/>
      <c r="AN58" s="24"/>
      <c r="AO58" s="24"/>
      <c r="AP58" s="24"/>
      <c r="AQ58" s="24"/>
      <c r="AR58" s="24"/>
      <c r="AS58" s="24"/>
      <c r="AT58" s="32"/>
      <c r="AV58" s="47"/>
      <c r="AW58" s="26">
        <f t="shared" si="22"/>
        <v>-120197000</v>
      </c>
      <c r="AX58" s="26">
        <f t="shared" si="64"/>
        <v>-115904408.29072504</v>
      </c>
      <c r="AY58" s="26">
        <f t="shared" si="65"/>
        <v>-111481594.21543476</v>
      </c>
      <c r="AZ58" s="26">
        <f t="shared" si="66"/>
        <v>-107012901.7904772</v>
      </c>
      <c r="BA58" s="26">
        <f t="shared" si="67"/>
        <v>-102487797.21717714</v>
      </c>
      <c r="BB58" s="26">
        <f t="shared" si="68"/>
        <v>-97896352.854951948</v>
      </c>
      <c r="BC58" s="26">
        <f t="shared" si="34"/>
        <v>-93229044.921102419</v>
      </c>
      <c r="BD58" s="26">
        <f t="shared" si="35"/>
        <v>-88476549.783715725</v>
      </c>
      <c r="BE58" s="26">
        <f t="shared" si="36"/>
        <v>-83629532.967927247</v>
      </c>
      <c r="BF58" s="26">
        <f t="shared" si="37"/>
        <v>-78678424.061745003</v>
      </c>
      <c r="BG58" s="26">
        <f t="shared" si="38"/>
        <v>-73613169.504541054</v>
      </c>
      <c r="BH58" s="26">
        <f t="shared" si="39"/>
        <v>-68422953.688875154</v>
      </c>
      <c r="BI58" s="26">
        <f t="shared" si="40"/>
        <v>-63095876.805551574</v>
      </c>
      <c r="BJ58" s="26">
        <f t="shared" si="41"/>
        <v>-57618575.288842782</v>
      </c>
      <c r="BK58" s="26">
        <f t="shared" si="42"/>
        <v>-51975767.417045683</v>
      </c>
      <c r="BL58" s="26">
        <f t="shared" si="43"/>
        <v>-30854194.792205751</v>
      </c>
      <c r="BM58" s="26">
        <f t="shared" si="44"/>
        <v>-27848533.298988719</v>
      </c>
      <c r="BN58" s="26">
        <f t="shared" si="45"/>
        <v>-24960373.949057478</v>
      </c>
      <c r="BO58" s="26">
        <f t="shared" si="46"/>
        <v>-22148043.71739395</v>
      </c>
      <c r="BP58" s="26">
        <f t="shared" si="47"/>
        <v>-19385441.822375052</v>
      </c>
      <c r="BQ58" s="26">
        <f t="shared" si="48"/>
        <v>-16651938.730533803</v>
      </c>
      <c r="BR58" s="26">
        <f t="shared" si="49"/>
        <v>-13931208.900400355</v>
      </c>
      <c r="BS58" s="26">
        <f t="shared" si="50"/>
        <v>-11210342.041256996</v>
      </c>
      <c r="BT58" s="26">
        <f t="shared" si="51"/>
        <v>-8479171.9640821293</v>
      </c>
      <c r="BU58" s="26">
        <f t="shared" si="52"/>
        <v>-5729775.7967027221</v>
      </c>
      <c r="BV58" s="26">
        <f t="shared" si="53"/>
        <v>-2956106.7019904228</v>
      </c>
      <c r="BW58" s="12"/>
      <c r="BX58" s="12"/>
      <c r="BY58" s="12"/>
      <c r="BZ58" s="12"/>
      <c r="CA58" s="12"/>
      <c r="CB58" s="24"/>
      <c r="CC58" s="24"/>
      <c r="CD58" s="24"/>
      <c r="CE58" s="24"/>
      <c r="CF58" s="24"/>
      <c r="CG58" s="24"/>
      <c r="CH58" s="24"/>
      <c r="CI58" s="24"/>
      <c r="CJ58" s="24"/>
      <c r="CK58" s="32"/>
      <c r="CM58" s="47"/>
      <c r="CN58" s="49">
        <v>0</v>
      </c>
      <c r="CO58" s="14">
        <f t="shared" si="25"/>
        <v>0.47951790558030016</v>
      </c>
      <c r="CP58" s="14">
        <f t="shared" ref="CP58:DM58" si="87">$C$20/($C$21-$C$22*CO58)</f>
        <v>0.62269991964003457</v>
      </c>
      <c r="CQ58" s="14">
        <f t="shared" si="87"/>
        <v>0.68365413138804965</v>
      </c>
      <c r="CR58" s="14">
        <f t="shared" si="87"/>
        <v>0.71338189544565556</v>
      </c>
      <c r="CS58" s="14">
        <f t="shared" si="87"/>
        <v>0.7288385559423749</v>
      </c>
      <c r="CT58" s="14">
        <f t="shared" si="87"/>
        <v>0.73714277157833852</v>
      </c>
      <c r="CU58" s="14">
        <f t="shared" si="87"/>
        <v>0.74168290376483481</v>
      </c>
      <c r="CV58" s="14">
        <f t="shared" si="87"/>
        <v>0.74418883943825731</v>
      </c>
      <c r="CW58" s="14">
        <f t="shared" si="87"/>
        <v>0.74557926227188609</v>
      </c>
      <c r="CX58" s="14">
        <f t="shared" si="87"/>
        <v>0.74635298434150033</v>
      </c>
      <c r="CY58" s="14">
        <f t="shared" si="87"/>
        <v>0.74678422966310576</v>
      </c>
      <c r="CZ58" s="14">
        <f t="shared" si="87"/>
        <v>0.7470248069144555</v>
      </c>
      <c r="DA58" s="14">
        <f t="shared" si="87"/>
        <v>0.74715908423415356</v>
      </c>
      <c r="DB58" s="14">
        <f t="shared" si="87"/>
        <v>0.7472340516255952</v>
      </c>
      <c r="DC58" s="14">
        <f t="shared" si="87"/>
        <v>0.74727591266789473</v>
      </c>
      <c r="DD58" s="14">
        <f t="shared" si="87"/>
        <v>0.74729928949639013</v>
      </c>
      <c r="DE58" s="14">
        <f t="shared" si="87"/>
        <v>0.74731234465992313</v>
      </c>
      <c r="DF58" s="14">
        <f t="shared" si="87"/>
        <v>0.74731963572317806</v>
      </c>
      <c r="DG58" s="14">
        <f t="shared" si="87"/>
        <v>0.74732370770676959</v>
      </c>
      <c r="DH58" s="14">
        <f t="shared" si="87"/>
        <v>0.74732598188689847</v>
      </c>
      <c r="DI58" s="14">
        <f t="shared" si="87"/>
        <v>0.74732725200984262</v>
      </c>
      <c r="DJ58" s="14">
        <f t="shared" si="87"/>
        <v>0.74732796137166757</v>
      </c>
      <c r="DK58" s="14">
        <f t="shared" si="87"/>
        <v>0.74732835754980542</v>
      </c>
      <c r="DL58" s="14">
        <f t="shared" si="87"/>
        <v>0.74732857881523174</v>
      </c>
      <c r="DM58" s="14">
        <f t="shared" si="87"/>
        <v>0.74732870239199378</v>
      </c>
      <c r="DN58" s="12"/>
      <c r="DO58" s="12"/>
      <c r="DP58" s="12"/>
      <c r="DQ58" s="12"/>
      <c r="DR58" s="12"/>
      <c r="DS58" s="24"/>
      <c r="DT58" s="24"/>
      <c r="DU58" s="24"/>
      <c r="DV58" s="24"/>
      <c r="DW58" s="24"/>
      <c r="DX58" s="24"/>
      <c r="DY58" s="24"/>
      <c r="DZ58" s="24"/>
      <c r="EA58" s="24"/>
      <c r="EB58" s="32"/>
      <c r="ED58" s="47"/>
      <c r="EE58" s="26">
        <v>350</v>
      </c>
      <c r="EF58" s="14">
        <f t="shared" si="24"/>
        <v>181.65669956780468</v>
      </c>
      <c r="EG58" s="14">
        <f t="shared" si="70"/>
        <v>130.38616440187477</v>
      </c>
      <c r="EH58" s="14">
        <f t="shared" si="71"/>
        <v>107.3379982828357</v>
      </c>
      <c r="EI58" s="14">
        <f t="shared" si="72"/>
        <v>94.76028293671996</v>
      </c>
      <c r="EJ58" s="14">
        <f t="shared" si="73"/>
        <v>86.813862315301876</v>
      </c>
      <c r="EK58" s="14">
        <f t="shared" si="74"/>
        <v>81.089513706567388</v>
      </c>
      <c r="EL58" s="14">
        <f t="shared" si="75"/>
        <v>76.466473244168327</v>
      </c>
      <c r="EM58" s="14">
        <f t="shared" si="76"/>
        <v>72.387129084530415</v>
      </c>
      <c r="EN58" s="14">
        <f t="shared" si="77"/>
        <v>68.562631198503183</v>
      </c>
      <c r="EO58" s="14">
        <f t="shared" si="78"/>
        <v>64.838941510440577</v>
      </c>
      <c r="EP58" s="14">
        <f t="shared" si="79"/>
        <v>61.131440968598021</v>
      </c>
      <c r="EQ58" s="14">
        <f t="shared" si="80"/>
        <v>57.391624574468239</v>
      </c>
      <c r="ER58" s="14">
        <f t="shared" si="81"/>
        <v>53.589689069642766</v>
      </c>
      <c r="ES58" s="14">
        <f t="shared" si="82"/>
        <v>49.705250258364693</v>
      </c>
      <c r="ET58" s="14">
        <f t="shared" si="83"/>
        <v>42.879008035528614</v>
      </c>
      <c r="EU58" s="14">
        <f t="shared" si="84"/>
        <v>37.220364962606517</v>
      </c>
      <c r="EV58" s="14">
        <f t="shared" si="55"/>
        <v>32.455336612153928</v>
      </c>
      <c r="EW58" s="14">
        <f t="shared" si="56"/>
        <v>28.371840673288858</v>
      </c>
      <c r="EX58" s="14">
        <f t="shared" si="57"/>
        <v>24.806730325191939</v>
      </c>
      <c r="EY58" s="14">
        <f t="shared" si="58"/>
        <v>21.634342570840911</v>
      </c>
      <c r="EZ58" s="14">
        <f t="shared" si="59"/>
        <v>18.757777579697947</v>
      </c>
      <c r="FA58" s="14">
        <f t="shared" si="60"/>
        <v>16.102242042670902</v>
      </c>
      <c r="FB58" s="14">
        <f t="shared" si="61"/>
        <v>13.609962013369877</v>
      </c>
      <c r="FC58" s="14">
        <f t="shared" si="62"/>
        <v>11.236293967957058</v>
      </c>
      <c r="FD58" s="14">
        <f t="shared" si="63"/>
        <v>8.9467530966715145</v>
      </c>
      <c r="FE58" s="12"/>
      <c r="FF58" s="12"/>
      <c r="FG58" s="12"/>
      <c r="FH58" s="12"/>
      <c r="FI58" s="12"/>
      <c r="FJ58" s="24"/>
      <c r="FK58" s="24"/>
      <c r="FL58" s="24"/>
      <c r="FM58" s="24"/>
      <c r="FN58" s="24"/>
      <c r="FO58" s="24"/>
      <c r="FP58" s="24"/>
      <c r="FQ58" s="24"/>
      <c r="FR58" s="24"/>
      <c r="FS58" s="32"/>
    </row>
    <row r="59" spans="5:175" x14ac:dyDescent="0.25">
      <c r="E59" s="46"/>
      <c r="F59" s="26">
        <v>350</v>
      </c>
      <c r="G59" s="14">
        <f t="shared" si="4"/>
        <v>336.63565699080243</v>
      </c>
      <c r="H59" s="14">
        <f t="shared" si="5"/>
        <v>323.19743563161887</v>
      </c>
      <c r="I59" s="14">
        <f t="shared" si="6"/>
        <v>309.63753992645911</v>
      </c>
      <c r="J59" s="14">
        <f t="shared" si="7"/>
        <v>295.90919202504745</v>
      </c>
      <c r="K59" s="14">
        <f t="shared" si="8"/>
        <v>281.96525643907472</v>
      </c>
      <c r="L59" s="14">
        <f t="shared" si="9"/>
        <v>267.75668292060328</v>
      </c>
      <c r="M59" s="14">
        <f t="shared" si="10"/>
        <v>253.23068530449285</v>
      </c>
      <c r="N59" s="14">
        <f t="shared" si="11"/>
        <v>238.32855141065932</v>
      </c>
      <c r="O59" s="14">
        <f t="shared" si="12"/>
        <v>222.98294939680625</v>
      </c>
      <c r="P59" s="14">
        <f t="shared" si="13"/>
        <v>207.11455644268108</v>
      </c>
      <c r="Q59" s="14">
        <f t="shared" si="14"/>
        <v>190.62778325696496</v>
      </c>
      <c r="R59" s="14">
        <f t="shared" si="15"/>
        <v>173.40529853822193</v>
      </c>
      <c r="S59" s="51">
        <f t="shared" si="16"/>
        <v>155.3009657643656</v>
      </c>
      <c r="T59" s="51">
        <f t="shared" si="17"/>
        <v>136.13068333228932</v>
      </c>
      <c r="U59" s="51">
        <f t="shared" si="18"/>
        <v>115.660458575071</v>
      </c>
      <c r="V59" s="51">
        <f t="shared" si="18"/>
        <v>98.68274937342926</v>
      </c>
      <c r="W59" s="51">
        <f t="shared" si="18"/>
        <v>84.301931587090948</v>
      </c>
      <c r="X59" s="51">
        <f t="shared" si="18"/>
        <v>71.842186660109064</v>
      </c>
      <c r="Y59" s="51">
        <f t="shared" si="18"/>
        <v>60.794240144597794</v>
      </c>
      <c r="Z59" s="51">
        <f t="shared" si="18"/>
        <v>50.773994274905185</v>
      </c>
      <c r="AA59" s="51">
        <f t="shared" si="18"/>
        <v>41.49128207223643</v>
      </c>
      <c r="AB59" s="51">
        <f t="shared" si="18"/>
        <v>32.726194295844053</v>
      </c>
      <c r="AC59" s="51">
        <f t="shared" si="18"/>
        <v>24.311041333693019</v>
      </c>
      <c r="AD59" s="51">
        <f t="shared" si="18"/>
        <v>16.116465047951042</v>
      </c>
      <c r="AE59" s="51">
        <f t="shared" si="18"/>
        <v>8.0405473770803759</v>
      </c>
      <c r="AF59" s="12"/>
      <c r="AG59" s="12"/>
      <c r="AH59" s="12"/>
      <c r="AI59" s="12"/>
      <c r="AJ59" s="12"/>
      <c r="AK59" s="24"/>
      <c r="AL59" s="24"/>
      <c r="AM59" s="24"/>
      <c r="AN59" s="24"/>
      <c r="AO59" s="24"/>
      <c r="AP59" s="24"/>
      <c r="AQ59" s="24"/>
      <c r="AR59" s="24"/>
      <c r="AS59" s="24"/>
      <c r="AT59" s="32"/>
      <c r="AV59" s="47"/>
      <c r="AW59" s="26">
        <f t="shared" si="22"/>
        <v>-120197000</v>
      </c>
      <c r="AX59" s="26">
        <f t="shared" si="64"/>
        <v>-115904408.29072504</v>
      </c>
      <c r="AY59" s="26">
        <f t="shared" si="65"/>
        <v>-111481594.21543476</v>
      </c>
      <c r="AZ59" s="26">
        <f t="shared" si="66"/>
        <v>-107012901.7904772</v>
      </c>
      <c r="BA59" s="26">
        <f t="shared" si="67"/>
        <v>-102487797.21717714</v>
      </c>
      <c r="BB59" s="26">
        <f t="shared" si="68"/>
        <v>-97896352.854951948</v>
      </c>
      <c r="BC59" s="26">
        <f t="shared" si="34"/>
        <v>-93229044.921102419</v>
      </c>
      <c r="BD59" s="26">
        <f t="shared" si="35"/>
        <v>-88476549.783715725</v>
      </c>
      <c r="BE59" s="26">
        <f t="shared" si="36"/>
        <v>-83629532.967927247</v>
      </c>
      <c r="BF59" s="26">
        <f t="shared" si="37"/>
        <v>-78678424.061745003</v>
      </c>
      <c r="BG59" s="26">
        <f t="shared" si="38"/>
        <v>-73613169.504541054</v>
      </c>
      <c r="BH59" s="26">
        <f t="shared" si="39"/>
        <v>-68422953.688875154</v>
      </c>
      <c r="BI59" s="26">
        <f t="shared" si="40"/>
        <v>-63095876.805551574</v>
      </c>
      <c r="BJ59" s="26">
        <f t="shared" si="41"/>
        <v>-57618575.288842782</v>
      </c>
      <c r="BK59" s="26">
        <f t="shared" si="42"/>
        <v>-51975767.417045683</v>
      </c>
      <c r="BL59" s="26">
        <f t="shared" si="43"/>
        <v>-25680202.150433175</v>
      </c>
      <c r="BM59" s="26">
        <f t="shared" si="44"/>
        <v>-23450126.300303198</v>
      </c>
      <c r="BN59" s="26">
        <f t="shared" si="45"/>
        <v>-21228256.451025952</v>
      </c>
      <c r="BO59" s="26">
        <f t="shared" si="46"/>
        <v>-18996614.128702693</v>
      </c>
      <c r="BP59" s="26">
        <f t="shared" si="47"/>
        <v>-16746601.354266724</v>
      </c>
      <c r="BQ59" s="26">
        <f t="shared" si="48"/>
        <v>-14471919.77245209</v>
      </c>
      <c r="BR59" s="26">
        <f t="shared" si="49"/>
        <v>-12168085.895616408</v>
      </c>
      <c r="BS59" s="26">
        <f t="shared" si="50"/>
        <v>-9832091.6918285452</v>
      </c>
      <c r="BT59" s="26">
        <f t="shared" si="51"/>
        <v>-7462179.5756524382</v>
      </c>
      <c r="BU59" s="26">
        <f t="shared" si="52"/>
        <v>-5057708.7949846806</v>
      </c>
      <c r="BV59" s="26">
        <f t="shared" si="53"/>
        <v>-2619096.1991999829</v>
      </c>
      <c r="BW59" s="12"/>
      <c r="BX59" s="12"/>
      <c r="BY59" s="12"/>
      <c r="BZ59" s="12"/>
      <c r="CA59" s="12"/>
      <c r="CB59" s="24"/>
      <c r="CC59" s="24"/>
      <c r="CD59" s="24"/>
      <c r="CE59" s="24"/>
      <c r="CF59" s="24"/>
      <c r="CG59" s="24"/>
      <c r="CH59" s="24"/>
      <c r="CI59" s="24"/>
      <c r="CJ59" s="24"/>
      <c r="CK59" s="32"/>
      <c r="CM59" s="47"/>
      <c r="CN59" s="49">
        <v>0</v>
      </c>
      <c r="CO59" s="14">
        <f t="shared" si="25"/>
        <v>0.47951790558030016</v>
      </c>
      <c r="CP59" s="14">
        <f t="shared" ref="CP59:DM59" si="88">$C$20/($C$21-$C$22*CO59)</f>
        <v>0.62269991964003457</v>
      </c>
      <c r="CQ59" s="14">
        <f t="shared" si="88"/>
        <v>0.68365413138804965</v>
      </c>
      <c r="CR59" s="14">
        <f t="shared" si="88"/>
        <v>0.71338189544565556</v>
      </c>
      <c r="CS59" s="14">
        <f t="shared" si="88"/>
        <v>0.7288385559423749</v>
      </c>
      <c r="CT59" s="14">
        <f t="shared" si="88"/>
        <v>0.73714277157833852</v>
      </c>
      <c r="CU59" s="14">
        <f t="shared" si="88"/>
        <v>0.74168290376483481</v>
      </c>
      <c r="CV59" s="14">
        <f t="shared" si="88"/>
        <v>0.74418883943825731</v>
      </c>
      <c r="CW59" s="14">
        <f t="shared" si="88"/>
        <v>0.74557926227188609</v>
      </c>
      <c r="CX59" s="14">
        <f t="shared" si="88"/>
        <v>0.74635298434150033</v>
      </c>
      <c r="CY59" s="14">
        <f t="shared" si="88"/>
        <v>0.74678422966310576</v>
      </c>
      <c r="CZ59" s="14">
        <f t="shared" si="88"/>
        <v>0.7470248069144555</v>
      </c>
      <c r="DA59" s="14">
        <f t="shared" si="88"/>
        <v>0.74715908423415356</v>
      </c>
      <c r="DB59" s="14">
        <f t="shared" si="88"/>
        <v>0.7472340516255952</v>
      </c>
      <c r="DC59" s="14">
        <f t="shared" si="88"/>
        <v>0.74727591266789473</v>
      </c>
      <c r="DD59" s="14">
        <f t="shared" si="88"/>
        <v>0.74729928949639013</v>
      </c>
      <c r="DE59" s="14">
        <f t="shared" si="88"/>
        <v>0.74731234465992313</v>
      </c>
      <c r="DF59" s="14">
        <f t="shared" si="88"/>
        <v>0.74731963572317806</v>
      </c>
      <c r="DG59" s="14">
        <f t="shared" si="88"/>
        <v>0.74732370770676959</v>
      </c>
      <c r="DH59" s="14">
        <f t="shared" si="88"/>
        <v>0.74732598188689847</v>
      </c>
      <c r="DI59" s="14">
        <f t="shared" si="88"/>
        <v>0.74732725200984262</v>
      </c>
      <c r="DJ59" s="14">
        <f t="shared" si="88"/>
        <v>0.74732796137166757</v>
      </c>
      <c r="DK59" s="14">
        <f t="shared" si="88"/>
        <v>0.74732835754980542</v>
      </c>
      <c r="DL59" s="14">
        <f t="shared" si="88"/>
        <v>0.74732857881523174</v>
      </c>
      <c r="DM59" s="14">
        <f t="shared" si="88"/>
        <v>0.74732870239199378</v>
      </c>
      <c r="DN59" s="12"/>
      <c r="DO59" s="12"/>
      <c r="DP59" s="12"/>
      <c r="DQ59" s="12"/>
      <c r="DR59" s="12"/>
      <c r="DS59" s="24"/>
      <c r="DT59" s="24"/>
      <c r="DU59" s="24"/>
      <c r="DV59" s="24"/>
      <c r="DW59" s="24"/>
      <c r="DX59" s="24"/>
      <c r="DY59" s="24"/>
      <c r="DZ59" s="24"/>
      <c r="EA59" s="24"/>
      <c r="EB59" s="32"/>
      <c r="ED59" s="47"/>
      <c r="EE59" s="26">
        <v>350</v>
      </c>
      <c r="EF59" s="14">
        <f t="shared" si="24"/>
        <v>181.65669956780468</v>
      </c>
      <c r="EG59" s="14">
        <f t="shared" si="70"/>
        <v>130.38616440187477</v>
      </c>
      <c r="EH59" s="14">
        <f t="shared" si="71"/>
        <v>107.3379982828357</v>
      </c>
      <c r="EI59" s="14">
        <f t="shared" si="72"/>
        <v>94.76028293671996</v>
      </c>
      <c r="EJ59" s="14">
        <f t="shared" si="73"/>
        <v>86.813862315301876</v>
      </c>
      <c r="EK59" s="14">
        <f t="shared" si="74"/>
        <v>81.089513706567388</v>
      </c>
      <c r="EL59" s="14">
        <f t="shared" si="75"/>
        <v>76.466473244168327</v>
      </c>
      <c r="EM59" s="14">
        <f t="shared" si="76"/>
        <v>72.387129084530415</v>
      </c>
      <c r="EN59" s="14">
        <f t="shared" si="77"/>
        <v>68.562631198503183</v>
      </c>
      <c r="EO59" s="14">
        <f t="shared" si="78"/>
        <v>64.838941510440577</v>
      </c>
      <c r="EP59" s="14">
        <f t="shared" si="79"/>
        <v>61.131440968598021</v>
      </c>
      <c r="EQ59" s="14">
        <f t="shared" si="80"/>
        <v>57.391624574468239</v>
      </c>
      <c r="ER59" s="14">
        <f t="shared" si="81"/>
        <v>53.589689069642766</v>
      </c>
      <c r="ES59" s="14">
        <f t="shared" si="82"/>
        <v>49.705250258364693</v>
      </c>
      <c r="ET59" s="14">
        <f>(ES59*$C$22-BL59)/($C$21-$C$22*DB59)</f>
        <v>41.917216972464544</v>
      </c>
      <c r="EU59" s="14">
        <f t="shared" si="84"/>
        <v>35.683975795222906</v>
      </c>
      <c r="EV59" s="14">
        <f t="shared" si="55"/>
        <v>30.613378628628997</v>
      </c>
      <c r="EW59" s="14">
        <f t="shared" si="56"/>
        <v>26.409457261180826</v>
      </c>
      <c r="EX59" s="14">
        <f t="shared" si="57"/>
        <v>22.849630487993355</v>
      </c>
      <c r="EY59" s="14">
        <f t="shared" si="58"/>
        <v>19.766481160524826</v>
      </c>
      <c r="EZ59" s="14">
        <f t="shared" si="59"/>
        <v>17.034105220383108</v>
      </c>
      <c r="FA59" s="14">
        <f t="shared" si="60"/>
        <v>14.557873337112905</v>
      </c>
      <c r="FB59" s="14">
        <f t="shared" si="61"/>
        <v>12.26674997989892</v>
      </c>
      <c r="FC59" s="14">
        <f t="shared" si="62"/>
        <v>10.107534203741025</v>
      </c>
      <c r="FD59" s="14">
        <f t="shared" si="63"/>
        <v>8.0405473770803759</v>
      </c>
      <c r="FE59" s="12"/>
      <c r="FF59" s="12"/>
      <c r="FG59" s="12"/>
      <c r="FH59" s="12"/>
      <c r="FI59" s="12"/>
      <c r="FJ59" s="24"/>
      <c r="FK59" s="24"/>
      <c r="FL59" s="24"/>
      <c r="FM59" s="24"/>
      <c r="FN59" s="24"/>
      <c r="FO59" s="24"/>
      <c r="FP59" s="24"/>
      <c r="FQ59" s="24"/>
      <c r="FR59" s="24"/>
      <c r="FS59" s="32"/>
    </row>
    <row r="60" spans="5:175" x14ac:dyDescent="0.25">
      <c r="E60" s="46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51">
        <f t="shared" ref="U60:AE73" si="89">DC60*V60+ET60</f>
        <v>2.3029753747950714</v>
      </c>
      <c r="V60" s="51">
        <f t="shared" si="89"/>
        <v>11.591320044547226</v>
      </c>
      <c r="W60" s="51">
        <f t="shared" si="89"/>
        <v>17.352499609305411</v>
      </c>
      <c r="X60" s="51">
        <f t="shared" si="89"/>
        <v>20.407905866649024</v>
      </c>
      <c r="Y60" s="51">
        <f t="shared" si="89"/>
        <v>21.385734587470353</v>
      </c>
      <c r="Z60" s="51">
        <f t="shared" si="89"/>
        <v>20.768901875868227</v>
      </c>
      <c r="AA60" s="51">
        <f t="shared" si="89"/>
        <v>18.93163117415904</v>
      </c>
      <c r="AB60" s="51">
        <f t="shared" si="89"/>
        <v>16.167569543959573</v>
      </c>
      <c r="AC60" s="51">
        <f t="shared" si="89"/>
        <v>12.711617367564402</v>
      </c>
      <c r="AD60" s="51">
        <f t="shared" si="89"/>
        <v>8.7571544676266004</v>
      </c>
      <c r="AE60" s="51">
        <f t="shared" si="89"/>
        <v>4.4699776213019282</v>
      </c>
      <c r="AF60" s="12"/>
      <c r="AG60" s="12"/>
      <c r="AH60" s="12"/>
      <c r="AI60" s="12"/>
      <c r="AJ60" s="12"/>
      <c r="AK60" s="24"/>
      <c r="AL60" s="24"/>
      <c r="AM60" s="24"/>
      <c r="AN60" s="24"/>
      <c r="AO60" s="24"/>
      <c r="AP60" s="24"/>
      <c r="AQ60" s="24"/>
      <c r="AR60" s="24"/>
      <c r="AS60" s="24"/>
      <c r="AT60" s="32"/>
      <c r="AV60" s="47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26">
        <f t="shared" ref="BL60:BL84" si="90">-($C$15*$C$16*U18)/($C$13)</f>
        <v>-19306809.816564497</v>
      </c>
      <c r="BM60" s="26">
        <f t="shared" ref="BM60:BM84" si="91">-($C$15*$C$16*V18)/($C$13)</f>
        <v>-18159894.851774171</v>
      </c>
      <c r="BN60" s="26">
        <f t="shared" ref="BN60:BN84" si="92">-($C$15*$C$16*W18)/($C$13)</f>
        <v>-16836404.111634243</v>
      </c>
      <c r="BO60" s="26">
        <f t="shared" ref="BO60:BO84" si="93">-($C$15*$C$16*X18)/($C$13)</f>
        <v>-15360344.729544189</v>
      </c>
      <c r="BP60" s="26">
        <f t="shared" ref="BP60:BP84" si="94">-($C$15*$C$16*Y18)/($C$13)</f>
        <v>-13754827.930371353</v>
      </c>
      <c r="BQ60" s="26">
        <f t="shared" ref="BQ60:BQ84" si="95">-($C$15*$C$16*Z18)/($C$13)</f>
        <v>-12038617.002441047</v>
      </c>
      <c r="BR60" s="26">
        <f t="shared" ref="BR60:BR84" si="96">-($C$15*$C$16*AA18)/($C$13)</f>
        <v>-10227200.310360627</v>
      </c>
      <c r="BS60" s="26">
        <f t="shared" ref="BS60:BS84" si="97">-($C$15*$C$16*AB18)/($C$13)</f>
        <v>-8333666.7284933273</v>
      </c>
      <c r="BT60" s="26">
        <f t="shared" ref="BT60:BT84" si="98">-($C$15*$C$16*AC18)/($C$13)</f>
        <v>-6369436.745010348</v>
      </c>
      <c r="BU60" s="26">
        <f t="shared" ref="BU60:BU84" si="99">-($C$15*$C$16*AD18)/($C$13)</f>
        <v>-4344892.0517475326</v>
      </c>
      <c r="BV60" s="26">
        <f t="shared" ref="BV60:BV84" si="100">-($C$15*$C$16*AE18)/($C$13)</f>
        <v>-2269938.8301160815</v>
      </c>
      <c r="BW60" s="12"/>
      <c r="BX60" s="12"/>
      <c r="BY60" s="12"/>
      <c r="BZ60" s="12"/>
      <c r="CA60" s="12"/>
      <c r="CB60" s="24"/>
      <c r="CC60" s="24"/>
      <c r="CD60" s="24"/>
      <c r="CE60" s="24"/>
      <c r="CF60" s="24"/>
      <c r="CG60" s="24"/>
      <c r="CH60" s="24"/>
      <c r="CI60" s="24"/>
      <c r="CJ60" s="24"/>
      <c r="CK60" s="32"/>
      <c r="CM60" s="47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50">
        <v>0</v>
      </c>
      <c r="DD60" s="14">
        <f t="shared" ref="DC60:DM60" si="101">$C$20/($C$21-$C$22*DC60)</f>
        <v>0.47951790558030016</v>
      </c>
      <c r="DE60" s="14">
        <f t="shared" si="101"/>
        <v>0.62269991964003457</v>
      </c>
      <c r="DF60" s="14">
        <f t="shared" si="101"/>
        <v>0.68365413138804965</v>
      </c>
      <c r="DG60" s="14">
        <f t="shared" si="101"/>
        <v>0.71338189544565556</v>
      </c>
      <c r="DH60" s="14">
        <f t="shared" si="101"/>
        <v>0.7288385559423749</v>
      </c>
      <c r="DI60" s="14">
        <f t="shared" si="101"/>
        <v>0.73714277157833852</v>
      </c>
      <c r="DJ60" s="14">
        <f t="shared" si="101"/>
        <v>0.74168290376483481</v>
      </c>
      <c r="DK60" s="14">
        <f t="shared" si="101"/>
        <v>0.74418883943825731</v>
      </c>
      <c r="DL60" s="14">
        <f t="shared" si="101"/>
        <v>0.74557926227188609</v>
      </c>
      <c r="DM60" s="14">
        <f t="shared" si="101"/>
        <v>0.74635298434150033</v>
      </c>
      <c r="DN60" s="12"/>
      <c r="DO60" s="12"/>
      <c r="DP60" s="12"/>
      <c r="DQ60" s="12"/>
      <c r="DR60" s="12"/>
      <c r="DS60" s="24"/>
      <c r="DT60" s="24"/>
      <c r="DU60" s="24"/>
      <c r="DV60" s="24"/>
      <c r="DW60" s="24"/>
      <c r="DX60" s="24"/>
      <c r="DY60" s="24"/>
      <c r="DZ60" s="24"/>
      <c r="EA60" s="24"/>
      <c r="EB60" s="32"/>
      <c r="ED60" s="47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4">
        <f t="shared" ref="ET60:ET84" si="102">(ES60*$C$22-BL60)/($C$21-$C$22*DB60)</f>
        <v>2.3029753747950714</v>
      </c>
      <c r="EU60" s="14">
        <f t="shared" ref="EU60:EU84" si="103">(ET60*$C$22-BM60)/($C$21-$C$22*DC60)</f>
        <v>3.2704857753101195</v>
      </c>
      <c r="EV60" s="14">
        <f t="shared" ref="EV60:EV84" si="104">(EU60*$C$22-BN60)/($C$21-$C$22*DD60)</f>
        <v>4.6444982661216736</v>
      </c>
      <c r="EW60" s="14">
        <f t="shared" ref="EW60:EW84" si="105">(EV60*$C$22-BO60)/($C$21-$C$22*DE60)</f>
        <v>5.7874600631566109</v>
      </c>
      <c r="EX60" s="14">
        <f t="shared" ref="EX60:EX84" si="106">(EW60*$C$22-BP60)/($C$21-$C$22*DF60)</f>
        <v>6.5695760009386461</v>
      </c>
      <c r="EY60" s="14">
        <f t="shared" ref="EY60:EY84" si="107">(EX60*$C$22-BQ60)/($C$21-$C$22*DG60)</f>
        <v>6.9707991492605057</v>
      </c>
      <c r="EZ60" s="14">
        <f t="shared" ref="EZ60:EZ84" si="108">(EY60*$C$22-BR60)/($C$21-$C$22*DH60)</f>
        <v>7.0138241508391461</v>
      </c>
      <c r="FA60" s="14">
        <f t="shared" ref="FA60:FA84" si="109">(EZ60*$C$22-BS60)/($C$21-$C$22*DI60)</f>
        <v>6.7395802632369017</v>
      </c>
      <c r="FB60" s="14">
        <f t="shared" ref="FB60:FB84" si="110">(FA60*$C$22-BT60)/($C$21-$C$22*DJ60)</f>
        <v>6.1946407475198129</v>
      </c>
      <c r="FC60" s="14">
        <f t="shared" ref="FC60:FC84" si="111">(FB60*$C$22-BU60)/($C$21-$C$22*DK60)</f>
        <v>5.424431850364468</v>
      </c>
      <c r="FD60" s="14">
        <f t="shared" ref="FD60:FD84" si="112">(FC60*$C$22-BV60)/($C$21-$C$22*DL60)</f>
        <v>4.4699776213019282</v>
      </c>
      <c r="FE60" s="12"/>
      <c r="FF60" s="12"/>
      <c r="FG60" s="12"/>
      <c r="FH60" s="12"/>
      <c r="FI60" s="12"/>
      <c r="FJ60" s="24"/>
      <c r="FK60" s="24"/>
      <c r="FL60" s="24"/>
      <c r="FM60" s="24"/>
      <c r="FN60" s="24"/>
      <c r="FO60" s="24"/>
      <c r="FP60" s="24"/>
      <c r="FQ60" s="24"/>
      <c r="FR60" s="24"/>
      <c r="FS60" s="32"/>
    </row>
    <row r="61" spans="5:175" x14ac:dyDescent="0.25">
      <c r="E61" s="46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51">
        <f t="shared" si="89"/>
        <v>1.731416663977239</v>
      </c>
      <c r="V61" s="51">
        <f t="shared" si="89"/>
        <v>9.1957126928954978</v>
      </c>
      <c r="W61" s="51">
        <f t="shared" si="89"/>
        <v>13.942851808727188</v>
      </c>
      <c r="X61" s="51">
        <f t="shared" si="89"/>
        <v>16.554290856568393</v>
      </c>
      <c r="Y61" s="51">
        <f t="shared" si="89"/>
        <v>17.486007903908241</v>
      </c>
      <c r="Z61" s="51">
        <f t="shared" si="89"/>
        <v>17.097911940989711</v>
      </c>
      <c r="AA61" s="51">
        <f t="shared" si="89"/>
        <v>15.676812961101561</v>
      </c>
      <c r="AB61" s="51">
        <f t="shared" si="89"/>
        <v>13.45450448900807</v>
      </c>
      <c r="AC61" s="51">
        <f t="shared" si="89"/>
        <v>10.622169926139083</v>
      </c>
      <c r="AD61" s="51">
        <f t="shared" si="89"/>
        <v>7.3420674849087586</v>
      </c>
      <c r="AE61" s="51">
        <f t="shared" si="89"/>
        <v>3.7572578008149513</v>
      </c>
      <c r="AF61" s="12"/>
      <c r="AG61" s="12"/>
      <c r="AH61" s="12"/>
      <c r="AI61" s="12"/>
      <c r="AJ61" s="12"/>
      <c r="AK61" s="24"/>
      <c r="AL61" s="24"/>
      <c r="AM61" s="24"/>
      <c r="AN61" s="24"/>
      <c r="AO61" s="24"/>
      <c r="AP61" s="24"/>
      <c r="AQ61" s="24"/>
      <c r="AR61" s="24"/>
      <c r="AS61" s="24"/>
      <c r="AT61" s="32"/>
      <c r="AV61" s="47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26">
        <f t="shared" si="90"/>
        <v>-14515193.089120066</v>
      </c>
      <c r="BM61" s="26">
        <f t="shared" si="91"/>
        <v>-14080962.443602169</v>
      </c>
      <c r="BN61" s="26">
        <f t="shared" si="92"/>
        <v>-13373768.441474844</v>
      </c>
      <c r="BO61" s="26">
        <f t="shared" si="93"/>
        <v>-12437557.007978169</v>
      </c>
      <c r="BP61" s="26">
        <f t="shared" si="94"/>
        <v>-11310693.135598844</v>
      </c>
      <c r="BQ61" s="26">
        <f t="shared" si="95"/>
        <v>-10024437.04699257</v>
      </c>
      <c r="BR61" s="26">
        <f t="shared" si="96"/>
        <v>-8604593.2657669764</v>
      </c>
      <c r="BS61" s="26">
        <f t="shared" si="97"/>
        <v>-7072850.8165326389</v>
      </c>
      <c r="BT61" s="26">
        <f t="shared" si="98"/>
        <v>-5447892.4670472685</v>
      </c>
      <c r="BU61" s="26">
        <f t="shared" si="99"/>
        <v>-3746335.9319785638</v>
      </c>
      <c r="BV61" s="26">
        <f t="shared" si="100"/>
        <v>-1983558.9031748704</v>
      </c>
      <c r="BW61" s="12"/>
      <c r="BX61" s="12"/>
      <c r="BY61" s="12"/>
      <c r="BZ61" s="12"/>
      <c r="CA61" s="12"/>
      <c r="CB61" s="24"/>
      <c r="CC61" s="24"/>
      <c r="CD61" s="24"/>
      <c r="CE61" s="24"/>
      <c r="CF61" s="24"/>
      <c r="CG61" s="24"/>
      <c r="CH61" s="24"/>
      <c r="CI61" s="24"/>
      <c r="CJ61" s="24"/>
      <c r="CK61" s="32"/>
      <c r="CM61" s="47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50">
        <v>0</v>
      </c>
      <c r="DD61" s="14">
        <f t="shared" ref="DC61:DM61" si="113">$C$20/($C$21-$C$22*DC61)</f>
        <v>0.47951790558030016</v>
      </c>
      <c r="DE61" s="14">
        <f t="shared" si="113"/>
        <v>0.62269991964003457</v>
      </c>
      <c r="DF61" s="14">
        <f t="shared" si="113"/>
        <v>0.68365413138804965</v>
      </c>
      <c r="DG61" s="14">
        <f t="shared" si="113"/>
        <v>0.71338189544565556</v>
      </c>
      <c r="DH61" s="14">
        <f t="shared" si="113"/>
        <v>0.7288385559423749</v>
      </c>
      <c r="DI61" s="14">
        <f t="shared" si="113"/>
        <v>0.73714277157833852</v>
      </c>
      <c r="DJ61" s="14">
        <f t="shared" si="113"/>
        <v>0.74168290376483481</v>
      </c>
      <c r="DK61" s="14">
        <f t="shared" si="113"/>
        <v>0.74418883943825731</v>
      </c>
      <c r="DL61" s="14">
        <f t="shared" si="113"/>
        <v>0.74557926227188609</v>
      </c>
      <c r="DM61" s="14">
        <f t="shared" si="113"/>
        <v>0.74635298434150033</v>
      </c>
      <c r="DN61" s="12"/>
      <c r="DO61" s="12"/>
      <c r="DP61" s="12"/>
      <c r="DQ61" s="12"/>
      <c r="DR61" s="12"/>
      <c r="DS61" s="24"/>
      <c r="DT61" s="24"/>
      <c r="DU61" s="24"/>
      <c r="DV61" s="24"/>
      <c r="DW61" s="24"/>
      <c r="DX61" s="24"/>
      <c r="DY61" s="24"/>
      <c r="DZ61" s="24"/>
      <c r="EA61" s="24"/>
      <c r="EB61" s="32"/>
      <c r="ED61" s="47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4">
        <f t="shared" si="102"/>
        <v>1.731416663977239</v>
      </c>
      <c r="EU61" s="14">
        <f t="shared" si="103"/>
        <v>2.5098655957581357</v>
      </c>
      <c r="EV61" s="14">
        <f t="shared" si="104"/>
        <v>3.634496222644291</v>
      </c>
      <c r="EW61" s="14">
        <f t="shared" si="105"/>
        <v>4.5999093115774343</v>
      </c>
      <c r="EX61" s="14">
        <f t="shared" si="106"/>
        <v>5.2886670752820928</v>
      </c>
      <c r="EY61" s="14">
        <f t="shared" si="107"/>
        <v>5.6720462206417448</v>
      </c>
      <c r="EZ61" s="14">
        <f t="shared" si="108"/>
        <v>5.7589222318609563</v>
      </c>
      <c r="FA61" s="14">
        <f t="shared" si="109"/>
        <v>5.5762226539057336</v>
      </c>
      <c r="FB61" s="14">
        <f t="shared" si="110"/>
        <v>5.1582852454674697</v>
      </c>
      <c r="FC61" s="14">
        <f t="shared" si="111"/>
        <v>4.5407339856118583</v>
      </c>
      <c r="FD61" s="14">
        <f t="shared" si="112"/>
        <v>3.7572578008149513</v>
      </c>
      <c r="FE61" s="12"/>
      <c r="FF61" s="12"/>
      <c r="FG61" s="12"/>
      <c r="FH61" s="12"/>
      <c r="FI61" s="12"/>
      <c r="FJ61" s="24"/>
      <c r="FK61" s="24"/>
      <c r="FL61" s="24"/>
      <c r="FM61" s="24"/>
      <c r="FN61" s="24"/>
      <c r="FO61" s="24"/>
      <c r="FP61" s="24"/>
      <c r="FQ61" s="24"/>
      <c r="FR61" s="24"/>
      <c r="FS61" s="32"/>
    </row>
    <row r="62" spans="5:175" x14ac:dyDescent="0.25">
      <c r="E62" s="46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51">
        <f t="shared" si="89"/>
        <v>1.3017101115251009</v>
      </c>
      <c r="V62" s="51">
        <f t="shared" si="89"/>
        <v>7.3169468417231958</v>
      </c>
      <c r="W62" s="51">
        <f t="shared" si="89"/>
        <v>11.237066612185526</v>
      </c>
      <c r="X62" s="51">
        <f t="shared" si="89"/>
        <v>13.469240742670745</v>
      </c>
      <c r="Y62" s="51">
        <f t="shared" si="89"/>
        <v>14.341710206495183</v>
      </c>
      <c r="Z62" s="51">
        <f t="shared" si="89"/>
        <v>14.121000962435373</v>
      </c>
      <c r="AA62" s="51">
        <f t="shared" si="89"/>
        <v>13.025770117103857</v>
      </c>
      <c r="AB62" s="51">
        <f t="shared" si="89"/>
        <v>11.23804484108312</v>
      </c>
      <c r="AC62" s="51">
        <f t="shared" si="89"/>
        <v>8.912468643335691</v>
      </c>
      <c r="AD62" s="51">
        <f t="shared" si="89"/>
        <v>6.1840564624099796</v>
      </c>
      <c r="AE62" s="51">
        <f t="shared" si="89"/>
        <v>3.1748747035656275</v>
      </c>
      <c r="AF62" s="12"/>
      <c r="AG62" s="12"/>
      <c r="AH62" s="12"/>
      <c r="AI62" s="12"/>
      <c r="AJ62" s="12"/>
      <c r="AK62" s="24"/>
      <c r="AL62" s="24"/>
      <c r="AM62" s="24"/>
      <c r="AN62" s="24"/>
      <c r="AO62" s="24"/>
      <c r="AP62" s="24"/>
      <c r="AQ62" s="24"/>
      <c r="AR62" s="24"/>
      <c r="AS62" s="24"/>
      <c r="AT62" s="32"/>
      <c r="AV62" s="47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26">
        <f t="shared" si="90"/>
        <v>-10912782.58316176</v>
      </c>
      <c r="BM62" s="26">
        <f t="shared" si="91"/>
        <v>-10935156.062522355</v>
      </c>
      <c r="BN62" s="26">
        <f t="shared" si="92"/>
        <v>-10644574.888664735</v>
      </c>
      <c r="BO62" s="26">
        <f t="shared" si="93"/>
        <v>-10091619.415824322</v>
      </c>
      <c r="BP62" s="26">
        <f t="shared" si="94"/>
        <v>-9319808.5248092636</v>
      </c>
      <c r="BQ62" s="26">
        <f t="shared" si="95"/>
        <v>-8365010.9876318024</v>
      </c>
      <c r="BR62" s="26">
        <f t="shared" si="96"/>
        <v>-7257137.5849864827</v>
      </c>
      <c r="BS62" s="26">
        <f t="shared" si="97"/>
        <v>-6021530.06466607</v>
      </c>
      <c r="BT62" s="26">
        <f t="shared" si="98"/>
        <v>-4680120.6338710394</v>
      </c>
      <c r="BU62" s="26">
        <f t="shared" si="99"/>
        <v>-3252422.3735537711</v>
      </c>
      <c r="BV62" s="26">
        <f t="shared" si="100"/>
        <v>-1756401.1084780344</v>
      </c>
      <c r="BW62" s="12"/>
      <c r="BX62" s="12"/>
      <c r="BY62" s="12"/>
      <c r="BZ62" s="12"/>
      <c r="CA62" s="12"/>
      <c r="CB62" s="24"/>
      <c r="CC62" s="24"/>
      <c r="CD62" s="24"/>
      <c r="CE62" s="24"/>
      <c r="CF62" s="24"/>
      <c r="CG62" s="24"/>
      <c r="CH62" s="24"/>
      <c r="CI62" s="24"/>
      <c r="CJ62" s="24"/>
      <c r="CK62" s="32"/>
      <c r="CM62" s="47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50">
        <v>0</v>
      </c>
      <c r="DD62" s="14">
        <f t="shared" ref="DC62:DM62" si="114">$C$20/($C$21-$C$22*DC62)</f>
        <v>0.47951790558030016</v>
      </c>
      <c r="DE62" s="14">
        <f t="shared" si="114"/>
        <v>0.62269991964003457</v>
      </c>
      <c r="DF62" s="14">
        <f t="shared" si="114"/>
        <v>0.68365413138804965</v>
      </c>
      <c r="DG62" s="14">
        <f t="shared" si="114"/>
        <v>0.71338189544565556</v>
      </c>
      <c r="DH62" s="14">
        <f t="shared" si="114"/>
        <v>0.7288385559423749</v>
      </c>
      <c r="DI62" s="14">
        <f t="shared" si="114"/>
        <v>0.73714277157833852</v>
      </c>
      <c r="DJ62" s="14">
        <f t="shared" si="114"/>
        <v>0.74168290376483481</v>
      </c>
      <c r="DK62" s="14">
        <f t="shared" si="114"/>
        <v>0.74418883943825731</v>
      </c>
      <c r="DL62" s="14">
        <f t="shared" si="114"/>
        <v>0.74557926227188609</v>
      </c>
      <c r="DM62" s="14">
        <f t="shared" si="114"/>
        <v>0.74635298434150033</v>
      </c>
      <c r="DN62" s="12"/>
      <c r="DO62" s="12"/>
      <c r="DP62" s="12"/>
      <c r="DQ62" s="12"/>
      <c r="DR62" s="12"/>
      <c r="DS62" s="24"/>
      <c r="DT62" s="24"/>
      <c r="DU62" s="24"/>
      <c r="DV62" s="24"/>
      <c r="DW62" s="24"/>
      <c r="DX62" s="24"/>
      <c r="DY62" s="24"/>
      <c r="DZ62" s="24"/>
      <c r="EA62" s="24"/>
      <c r="EB62" s="32"/>
      <c r="ED62" s="47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4">
        <f t="shared" si="102"/>
        <v>1.3017101115251009</v>
      </c>
      <c r="EU62" s="14">
        <f t="shared" si="103"/>
        <v>1.9285721949816734</v>
      </c>
      <c r="EV62" s="14">
        <f t="shared" si="104"/>
        <v>2.8497714841121731</v>
      </c>
      <c r="EW62" s="14">
        <f t="shared" si="105"/>
        <v>3.6644713088301542</v>
      </c>
      <c r="EX62" s="14">
        <f t="shared" si="106"/>
        <v>4.2680437743231119</v>
      </c>
      <c r="EY62" s="14">
        <f t="shared" si="107"/>
        <v>4.6273174802480579</v>
      </c>
      <c r="EZ62" s="14">
        <f t="shared" si="108"/>
        <v>4.7417265958261972</v>
      </c>
      <c r="FA62" s="14">
        <f t="shared" si="109"/>
        <v>4.6278192179808668</v>
      </c>
      <c r="FB62" s="14">
        <f t="shared" si="110"/>
        <v>4.3103628415541531</v>
      </c>
      <c r="FC62" s="14">
        <f t="shared" si="111"/>
        <v>3.8169357231198462</v>
      </c>
      <c r="FD62" s="14">
        <f t="shared" si="112"/>
        <v>3.1748747035656275</v>
      </c>
      <c r="FE62" s="12"/>
      <c r="FF62" s="12"/>
      <c r="FG62" s="12"/>
      <c r="FH62" s="12"/>
      <c r="FI62" s="12"/>
      <c r="FJ62" s="24"/>
      <c r="FK62" s="24"/>
      <c r="FL62" s="24"/>
      <c r="FM62" s="24"/>
      <c r="FN62" s="24"/>
      <c r="FO62" s="24"/>
      <c r="FP62" s="24"/>
      <c r="FQ62" s="24"/>
      <c r="FR62" s="24"/>
      <c r="FS62" s="32"/>
    </row>
    <row r="63" spans="5:175" x14ac:dyDescent="0.25">
      <c r="E63" s="46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51">
        <f t="shared" si="89"/>
        <v>0.97865055671830326</v>
      </c>
      <c r="V63" s="51">
        <f t="shared" si="89"/>
        <v>5.8447842800932017</v>
      </c>
      <c r="W63" s="51">
        <f t="shared" si="89"/>
        <v>9.093594886481684</v>
      </c>
      <c r="X63" s="51">
        <f t="shared" si="89"/>
        <v>11.006053932765681</v>
      </c>
      <c r="Y63" s="51">
        <f t="shared" si="89"/>
        <v>11.815793437083327</v>
      </c>
      <c r="Z63" s="51">
        <f t="shared" si="89"/>
        <v>11.718427577291983</v>
      </c>
      <c r="AA63" s="51">
        <f t="shared" si="89"/>
        <v>10.879377454320005</v>
      </c>
      <c r="AB63" s="51">
        <f t="shared" si="89"/>
        <v>9.4405008297981006</v>
      </c>
      <c r="AC63" s="51">
        <f t="shared" si="89"/>
        <v>7.525788065632014</v>
      </c>
      <c r="AD63" s="51">
        <f t="shared" si="89"/>
        <v>5.2463527650135511</v>
      </c>
      <c r="AE63" s="51">
        <f t="shared" si="89"/>
        <v>2.7049203905102992</v>
      </c>
      <c r="AF63" s="12"/>
      <c r="AG63" s="12"/>
      <c r="AH63" s="12"/>
      <c r="AI63" s="12"/>
      <c r="AJ63" s="12"/>
      <c r="AK63" s="24"/>
      <c r="AL63" s="24"/>
      <c r="AM63" s="24"/>
      <c r="AN63" s="24"/>
      <c r="AO63" s="24"/>
      <c r="AP63" s="24"/>
      <c r="AQ63" s="24"/>
      <c r="AR63" s="24"/>
      <c r="AS63" s="24"/>
      <c r="AT63" s="32"/>
      <c r="AV63" s="47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26">
        <f t="shared" si="90"/>
        <v>-8204438.6502033575</v>
      </c>
      <c r="BM63" s="26">
        <f t="shared" si="91"/>
        <v>-8508854.7477549985</v>
      </c>
      <c r="BN63" s="26">
        <f t="shared" si="92"/>
        <v>-8495055.6275355704</v>
      </c>
      <c r="BO63" s="26">
        <f t="shared" si="93"/>
        <v>-8212631.6002951218</v>
      </c>
      <c r="BP63" s="26">
        <f t="shared" si="94"/>
        <v>-7704343.3458812954</v>
      </c>
      <c r="BQ63" s="26">
        <f t="shared" si="95"/>
        <v>-7005913.1365797613</v>
      </c>
      <c r="BR63" s="26">
        <f t="shared" si="96"/>
        <v>-6147498.341593286</v>
      </c>
      <c r="BS63" s="26">
        <f t="shared" si="97"/>
        <v>-5154918.0763388826</v>
      </c>
      <c r="BT63" s="26">
        <f t="shared" si="98"/>
        <v>-4050690.7340378975</v>
      </c>
      <c r="BU63" s="26">
        <f t="shared" si="99"/>
        <v>-2854930.7035777979</v>
      </c>
      <c r="BV63" s="26">
        <f t="shared" si="100"/>
        <v>-1586145.5848573786</v>
      </c>
      <c r="BW63" s="12"/>
      <c r="BX63" s="12"/>
      <c r="BY63" s="12"/>
      <c r="BZ63" s="12"/>
      <c r="CA63" s="12"/>
      <c r="CB63" s="24"/>
      <c r="CC63" s="24"/>
      <c r="CD63" s="24"/>
      <c r="CE63" s="24"/>
      <c r="CF63" s="24"/>
      <c r="CG63" s="24"/>
      <c r="CH63" s="24"/>
      <c r="CI63" s="24"/>
      <c r="CJ63" s="24"/>
      <c r="CK63" s="32"/>
      <c r="CM63" s="47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50">
        <v>0</v>
      </c>
      <c r="DD63" s="14">
        <f t="shared" ref="DC63:DM63" si="115">$C$20/($C$21-$C$22*DC63)</f>
        <v>0.47951790558030016</v>
      </c>
      <c r="DE63" s="14">
        <f t="shared" si="115"/>
        <v>0.62269991964003457</v>
      </c>
      <c r="DF63" s="14">
        <f t="shared" si="115"/>
        <v>0.68365413138804965</v>
      </c>
      <c r="DG63" s="14">
        <f t="shared" si="115"/>
        <v>0.71338189544565556</v>
      </c>
      <c r="DH63" s="14">
        <f t="shared" si="115"/>
        <v>0.7288385559423749</v>
      </c>
      <c r="DI63" s="14">
        <f t="shared" si="115"/>
        <v>0.73714277157833852</v>
      </c>
      <c r="DJ63" s="14">
        <f t="shared" si="115"/>
        <v>0.74168290376483481</v>
      </c>
      <c r="DK63" s="14">
        <f t="shared" si="115"/>
        <v>0.74418883943825731</v>
      </c>
      <c r="DL63" s="14">
        <f t="shared" si="115"/>
        <v>0.74557926227188609</v>
      </c>
      <c r="DM63" s="14">
        <f t="shared" si="115"/>
        <v>0.74635298434150033</v>
      </c>
      <c r="DN63" s="12"/>
      <c r="DO63" s="12"/>
      <c r="DP63" s="12"/>
      <c r="DQ63" s="12"/>
      <c r="DR63" s="12"/>
      <c r="DS63" s="24"/>
      <c r="DT63" s="24"/>
      <c r="DU63" s="24"/>
      <c r="DV63" s="24"/>
      <c r="DW63" s="24"/>
      <c r="DX63" s="24"/>
      <c r="DY63" s="24"/>
      <c r="DZ63" s="24"/>
      <c r="EA63" s="24"/>
      <c r="EB63" s="32"/>
      <c r="ED63" s="47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4">
        <f t="shared" si="102"/>
        <v>0.97865055671830326</v>
      </c>
      <c r="EU63" s="14">
        <f t="shared" si="103"/>
        <v>1.4842427059317769</v>
      </c>
      <c r="EV63" s="14">
        <f t="shared" si="104"/>
        <v>2.2401259869946077</v>
      </c>
      <c r="EW63" s="14">
        <f t="shared" si="105"/>
        <v>2.928137933875862</v>
      </c>
      <c r="EX63" s="14">
        <f t="shared" si="106"/>
        <v>3.4560793603521311</v>
      </c>
      <c r="EY63" s="14">
        <f t="shared" si="107"/>
        <v>3.7891178239333607</v>
      </c>
      <c r="EZ63" s="14">
        <f t="shared" si="108"/>
        <v>3.9203805075550289</v>
      </c>
      <c r="FA63" s="14">
        <f t="shared" si="109"/>
        <v>3.8587524841614105</v>
      </c>
      <c r="FB63" s="14">
        <f t="shared" si="110"/>
        <v>3.6215108901528876</v>
      </c>
      <c r="FC63" s="14">
        <f t="shared" si="111"/>
        <v>3.2296202157526999</v>
      </c>
      <c r="FD63" s="14">
        <f t="shared" si="112"/>
        <v>2.7049203905102992</v>
      </c>
      <c r="FE63" s="12"/>
      <c r="FF63" s="12"/>
      <c r="FG63" s="12"/>
      <c r="FH63" s="12"/>
      <c r="FI63" s="12"/>
      <c r="FJ63" s="24"/>
      <c r="FK63" s="24"/>
      <c r="FL63" s="24"/>
      <c r="FM63" s="24"/>
      <c r="FN63" s="24"/>
      <c r="FO63" s="24"/>
      <c r="FP63" s="24"/>
      <c r="FQ63" s="24"/>
      <c r="FR63" s="24"/>
      <c r="FS63" s="32"/>
    </row>
    <row r="64" spans="5:175" x14ac:dyDescent="0.25">
      <c r="E64" s="46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51">
        <f t="shared" si="89"/>
        <v>0.7357702543378899</v>
      </c>
      <c r="V64" s="51">
        <f t="shared" si="89"/>
        <v>4.693473132368478</v>
      </c>
      <c r="W64" s="51">
        <f t="shared" si="89"/>
        <v>7.4008919321142077</v>
      </c>
      <c r="X64" s="51">
        <f t="shared" si="89"/>
        <v>9.0478998085139608</v>
      </c>
      <c r="Y64" s="51">
        <f t="shared" si="89"/>
        <v>9.7981141581405424</v>
      </c>
      <c r="Z64" s="51">
        <f t="shared" si="89"/>
        <v>9.7932220582877676</v>
      </c>
      <c r="AA64" s="51">
        <f t="shared" si="89"/>
        <v>9.1569030489991654</v>
      </c>
      <c r="AB64" s="51">
        <f t="shared" si="89"/>
        <v>7.998398002328706</v>
      </c>
      <c r="AC64" s="51">
        <f t="shared" si="89"/>
        <v>6.4157865145814865</v>
      </c>
      <c r="AD64" s="51">
        <f t="shared" si="89"/>
        <v>4.4990445684174372</v>
      </c>
      <c r="AE64" s="51">
        <f t="shared" si="89"/>
        <v>2.332961283191342</v>
      </c>
      <c r="AF64" s="12"/>
      <c r="AG64" s="12"/>
      <c r="AH64" s="12"/>
      <c r="AI64" s="12"/>
      <c r="AJ64" s="12"/>
      <c r="AK64" s="24"/>
      <c r="AL64" s="24"/>
      <c r="AM64" s="24"/>
      <c r="AN64" s="24"/>
      <c r="AO64" s="24"/>
      <c r="AP64" s="24"/>
      <c r="AQ64" s="24"/>
      <c r="AR64" s="24"/>
      <c r="AS64" s="24"/>
      <c r="AT64" s="32"/>
      <c r="AV64" s="47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26">
        <f t="shared" si="90"/>
        <v>-6168271.0656213528</v>
      </c>
      <c r="BM64" s="26">
        <f t="shared" si="91"/>
        <v>-6637974.5378231173</v>
      </c>
      <c r="BN64" s="26">
        <f t="shared" si="92"/>
        <v>-6804466.2191774873</v>
      </c>
      <c r="BO64" s="26">
        <f t="shared" si="93"/>
        <v>-6712339.7298680069</v>
      </c>
      <c r="BP64" s="26">
        <f t="shared" si="94"/>
        <v>-6400396.2910956349</v>
      </c>
      <c r="BQ64" s="26">
        <f t="shared" si="95"/>
        <v>-5901524.4951892141</v>
      </c>
      <c r="BR64" s="26">
        <f t="shared" si="96"/>
        <v>-5243851.5153623633</v>
      </c>
      <c r="BS64" s="26">
        <f t="shared" si="97"/>
        <v>-4451717.7350883</v>
      </c>
      <c r="BT64" s="26">
        <f t="shared" si="98"/>
        <v>-3546513.8476732308</v>
      </c>
      <c r="BU64" s="26">
        <f t="shared" si="99"/>
        <v>-2547414.0687153386</v>
      </c>
      <c r="BV64" s="26">
        <f t="shared" si="100"/>
        <v>-1472035.115693863</v>
      </c>
      <c r="BW64" s="12"/>
      <c r="BX64" s="12"/>
      <c r="BY64" s="12"/>
      <c r="BZ64" s="12"/>
      <c r="CA64" s="12"/>
      <c r="CB64" s="24"/>
      <c r="CC64" s="24"/>
      <c r="CD64" s="24"/>
      <c r="CE64" s="24"/>
      <c r="CF64" s="24"/>
      <c r="CG64" s="24"/>
      <c r="CH64" s="24"/>
      <c r="CI64" s="24"/>
      <c r="CJ64" s="24"/>
      <c r="CK64" s="32"/>
      <c r="CM64" s="47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50">
        <v>0</v>
      </c>
      <c r="DD64" s="14">
        <f t="shared" ref="DC64:DM64" si="116">$C$20/($C$21-$C$22*DC64)</f>
        <v>0.47951790558030016</v>
      </c>
      <c r="DE64" s="14">
        <f t="shared" si="116"/>
        <v>0.62269991964003457</v>
      </c>
      <c r="DF64" s="14">
        <f t="shared" si="116"/>
        <v>0.68365413138804965</v>
      </c>
      <c r="DG64" s="14">
        <f t="shared" si="116"/>
        <v>0.71338189544565556</v>
      </c>
      <c r="DH64" s="14">
        <f t="shared" si="116"/>
        <v>0.7288385559423749</v>
      </c>
      <c r="DI64" s="14">
        <f t="shared" si="116"/>
        <v>0.73714277157833852</v>
      </c>
      <c r="DJ64" s="14">
        <f t="shared" si="116"/>
        <v>0.74168290376483481</v>
      </c>
      <c r="DK64" s="14">
        <f t="shared" si="116"/>
        <v>0.74418883943825731</v>
      </c>
      <c r="DL64" s="14">
        <f t="shared" si="116"/>
        <v>0.74557926227188609</v>
      </c>
      <c r="DM64" s="14">
        <f t="shared" si="116"/>
        <v>0.74635298434150033</v>
      </c>
      <c r="DN64" s="12"/>
      <c r="DO64" s="12"/>
      <c r="DP64" s="12"/>
      <c r="DQ64" s="12"/>
      <c r="DR64" s="12"/>
      <c r="DS64" s="24"/>
      <c r="DT64" s="24"/>
      <c r="DU64" s="24"/>
      <c r="DV64" s="24"/>
      <c r="DW64" s="24"/>
      <c r="DX64" s="24"/>
      <c r="DY64" s="24"/>
      <c r="DZ64" s="24"/>
      <c r="EA64" s="24"/>
      <c r="EB64" s="32"/>
      <c r="ED64" s="47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4">
        <f t="shared" si="102"/>
        <v>0.7357702543378899</v>
      </c>
      <c r="EU64" s="14">
        <f t="shared" si="103"/>
        <v>1.1446129336549324</v>
      </c>
      <c r="EV64" s="14">
        <f t="shared" si="104"/>
        <v>1.7667654484414803</v>
      </c>
      <c r="EW64" s="14">
        <f t="shared" si="105"/>
        <v>2.3493785844894366</v>
      </c>
      <c r="EX64" s="14">
        <f t="shared" si="106"/>
        <v>2.81180684367901</v>
      </c>
      <c r="EY64" s="14">
        <f t="shared" si="107"/>
        <v>3.119318063150887</v>
      </c>
      <c r="EZ64" s="14">
        <f t="shared" si="108"/>
        <v>3.2609417773759373</v>
      </c>
      <c r="FA64" s="14">
        <f t="shared" si="109"/>
        <v>3.2399188302586408</v>
      </c>
      <c r="FB64" s="14">
        <f t="shared" si="110"/>
        <v>3.0676477586299189</v>
      </c>
      <c r="FC64" s="14">
        <f t="shared" si="111"/>
        <v>2.7596370159867636</v>
      </c>
      <c r="FD64" s="14">
        <f t="shared" si="112"/>
        <v>2.332961283191342</v>
      </c>
      <c r="FE64" s="12"/>
      <c r="FF64" s="12"/>
      <c r="FG64" s="12"/>
      <c r="FH64" s="12"/>
      <c r="FI64" s="12"/>
      <c r="FJ64" s="24"/>
      <c r="FK64" s="24"/>
      <c r="FL64" s="24"/>
      <c r="FM64" s="24"/>
      <c r="FN64" s="24"/>
      <c r="FO64" s="24"/>
      <c r="FP64" s="24"/>
      <c r="FQ64" s="24"/>
      <c r="FR64" s="24"/>
      <c r="FS64" s="32"/>
    </row>
    <row r="65" spans="5:175" x14ac:dyDescent="0.25">
      <c r="E65" s="46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51">
        <f t="shared" si="89"/>
        <v>0.55317041523969757</v>
      </c>
      <c r="V65" s="51">
        <f t="shared" si="89"/>
        <v>3.7963640865451564</v>
      </c>
      <c r="W65" s="51">
        <f t="shared" si="89"/>
        <v>6.0712195659465147</v>
      </c>
      <c r="X65" s="51">
        <f t="shared" si="89"/>
        <v>7.5020290486370467</v>
      </c>
      <c r="Y65" s="51">
        <f t="shared" si="89"/>
        <v>8.2005803530881742</v>
      </c>
      <c r="Z65" s="51">
        <f t="shared" si="89"/>
        <v>8.2674091231281999</v>
      </c>
      <c r="AA65" s="51">
        <f t="shared" si="89"/>
        <v>7.793246141433789</v>
      </c>
      <c r="AB65" s="51">
        <f t="shared" si="89"/>
        <v>6.8605813616801932</v>
      </c>
      <c r="AC65" s="51">
        <f t="shared" si="89"/>
        <v>5.5453038514280681</v>
      </c>
      <c r="AD65" s="51">
        <f t="shared" si="89"/>
        <v>3.9184054967280209</v>
      </c>
      <c r="AE65" s="51">
        <f t="shared" si="89"/>
        <v>2.0477590273943349</v>
      </c>
      <c r="AF65" s="12"/>
      <c r="AG65" s="12"/>
      <c r="AH65" s="12"/>
      <c r="AI65" s="12"/>
      <c r="AJ65" s="12"/>
      <c r="AK65" s="24"/>
      <c r="AL65" s="24"/>
      <c r="AM65" s="24"/>
      <c r="AN65" s="24"/>
      <c r="AO65" s="24"/>
      <c r="AP65" s="24"/>
      <c r="AQ65" s="24"/>
      <c r="AR65" s="24"/>
      <c r="AS65" s="24"/>
      <c r="AT65" s="32"/>
      <c r="AV65" s="47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26">
        <f t="shared" si="90"/>
        <v>-4637459.9225287857</v>
      </c>
      <c r="BM65" s="26">
        <f t="shared" si="91"/>
        <v>-5196466.8860558225</v>
      </c>
      <c r="BN65" s="26">
        <f t="shared" si="92"/>
        <v>-5478043.1301148776</v>
      </c>
      <c r="BO65" s="26">
        <f t="shared" si="93"/>
        <v>-5520024.6924053319</v>
      </c>
      <c r="BP65" s="26">
        <f t="shared" si="94"/>
        <v>-5355767.8931901772</v>
      </c>
      <c r="BQ65" s="26">
        <f t="shared" si="95"/>
        <v>-5013980.4830371197</v>
      </c>
      <c r="BR65" s="26">
        <f t="shared" si="96"/>
        <v>-4519533.8180891182</v>
      </c>
      <c r="BS65" s="26">
        <f t="shared" si="97"/>
        <v>-3894164.0278322995</v>
      </c>
      <c r="BT65" s="26">
        <f t="shared" si="98"/>
        <v>-3157084.0433380706</v>
      </c>
      <c r="BU65" s="26">
        <f t="shared" si="99"/>
        <v>-2325526.2365135667</v>
      </c>
      <c r="BV65" s="26">
        <f t="shared" si="100"/>
        <v>-1415233.8885915724</v>
      </c>
      <c r="BW65" s="12"/>
      <c r="BX65" s="12"/>
      <c r="BY65" s="12"/>
      <c r="BZ65" s="12"/>
      <c r="CA65" s="12"/>
      <c r="CB65" s="24"/>
      <c r="CC65" s="24"/>
      <c r="CD65" s="24"/>
      <c r="CE65" s="24"/>
      <c r="CF65" s="24"/>
      <c r="CG65" s="24"/>
      <c r="CH65" s="24"/>
      <c r="CI65" s="24"/>
      <c r="CJ65" s="24"/>
      <c r="CK65" s="32"/>
      <c r="CM65" s="47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50">
        <v>0</v>
      </c>
      <c r="DD65" s="14">
        <f t="shared" ref="DC65:DM65" si="117">$C$20/($C$21-$C$22*DC65)</f>
        <v>0.47951790558030016</v>
      </c>
      <c r="DE65" s="14">
        <f t="shared" si="117"/>
        <v>0.62269991964003457</v>
      </c>
      <c r="DF65" s="14">
        <f t="shared" si="117"/>
        <v>0.68365413138804965</v>
      </c>
      <c r="DG65" s="14">
        <f t="shared" si="117"/>
        <v>0.71338189544565556</v>
      </c>
      <c r="DH65" s="14">
        <f t="shared" si="117"/>
        <v>0.7288385559423749</v>
      </c>
      <c r="DI65" s="14">
        <f t="shared" si="117"/>
        <v>0.73714277157833852</v>
      </c>
      <c r="DJ65" s="14">
        <f t="shared" si="117"/>
        <v>0.74168290376483481</v>
      </c>
      <c r="DK65" s="14">
        <f t="shared" si="117"/>
        <v>0.74418883943825731</v>
      </c>
      <c r="DL65" s="14">
        <f t="shared" si="117"/>
        <v>0.74557926227188609</v>
      </c>
      <c r="DM65" s="14">
        <f t="shared" si="117"/>
        <v>0.74635298434150033</v>
      </c>
      <c r="DN65" s="12"/>
      <c r="DO65" s="12"/>
      <c r="DP65" s="12"/>
      <c r="DQ65" s="12"/>
      <c r="DR65" s="12"/>
      <c r="DS65" s="24"/>
      <c r="DT65" s="24"/>
      <c r="DU65" s="24"/>
      <c r="DV65" s="24"/>
      <c r="DW65" s="24"/>
      <c r="DX65" s="24"/>
      <c r="DY65" s="24"/>
      <c r="DZ65" s="24"/>
      <c r="EA65" s="24"/>
      <c r="EB65" s="32"/>
      <c r="ED65" s="47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4">
        <f t="shared" si="102"/>
        <v>0.55317041523969757</v>
      </c>
      <c r="EU65" s="14">
        <f t="shared" si="103"/>
        <v>0.88510559596434468</v>
      </c>
      <c r="EV65" s="14">
        <f t="shared" si="104"/>
        <v>1.3997066802230214</v>
      </c>
      <c r="EW65" s="14">
        <f t="shared" si="105"/>
        <v>1.895668410468645</v>
      </c>
      <c r="EX65" s="14">
        <f t="shared" si="106"/>
        <v>2.3027603624062749</v>
      </c>
      <c r="EY65" s="14">
        <f t="shared" si="107"/>
        <v>2.5873908593021127</v>
      </c>
      <c r="EZ65" s="14">
        <f t="shared" si="108"/>
        <v>2.73601818184616</v>
      </c>
      <c r="FA65" s="14">
        <f t="shared" si="109"/>
        <v>2.7477242988947017</v>
      </c>
      <c r="FB65" s="14">
        <f t="shared" si="110"/>
        <v>2.6292702123695535</v>
      </c>
      <c r="FC65" s="14">
        <f t="shared" si="111"/>
        <v>2.3916388317727577</v>
      </c>
      <c r="FD65" s="14">
        <f t="shared" si="112"/>
        <v>2.0477590273943349</v>
      </c>
      <c r="FE65" s="12"/>
      <c r="FF65" s="12"/>
      <c r="FG65" s="12"/>
      <c r="FH65" s="12"/>
      <c r="FI65" s="12"/>
      <c r="FJ65" s="24"/>
      <c r="FK65" s="24"/>
      <c r="FL65" s="24"/>
      <c r="FM65" s="24"/>
      <c r="FN65" s="24"/>
      <c r="FO65" s="24"/>
      <c r="FP65" s="24"/>
      <c r="FQ65" s="24"/>
      <c r="FR65" s="24"/>
      <c r="FS65" s="32"/>
    </row>
    <row r="66" spans="5:175" x14ac:dyDescent="0.25">
      <c r="E66" s="46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51">
        <f t="shared" si="89"/>
        <v>0.41589093084200157</v>
      </c>
      <c r="V66" s="51">
        <f t="shared" si="89"/>
        <v>3.1017494154463581</v>
      </c>
      <c r="W66" s="51">
        <f t="shared" si="89"/>
        <v>5.0357911955980672</v>
      </c>
      <c r="X66" s="51">
        <f t="shared" si="89"/>
        <v>6.2951834969312648</v>
      </c>
      <c r="Y66" s="51">
        <f t="shared" si="89"/>
        <v>6.9532599171705574</v>
      </c>
      <c r="Z66" s="51">
        <f t="shared" si="89"/>
        <v>7.078948992310977</v>
      </c>
      <c r="AA66" s="51">
        <f t="shared" si="89"/>
        <v>6.7366850337881559</v>
      </c>
      <c r="AB66" s="51">
        <f t="shared" si="89"/>
        <v>5.9866692260111485</v>
      </c>
      <c r="AC66" s="51">
        <f t="shared" si="89"/>
        <v>4.8853934085606703</v>
      </c>
      <c r="AD66" s="51">
        <f t="shared" si="89"/>
        <v>3.4863739928427027</v>
      </c>
      <c r="AE66" s="51">
        <f t="shared" si="89"/>
        <v>1.8410720335383572</v>
      </c>
      <c r="AF66" s="12"/>
      <c r="AG66" s="12"/>
      <c r="AH66" s="12"/>
      <c r="AI66" s="12"/>
      <c r="AJ66" s="12"/>
      <c r="AK66" s="24"/>
      <c r="AL66" s="24"/>
      <c r="AM66" s="24"/>
      <c r="AN66" s="24"/>
      <c r="AO66" s="24"/>
      <c r="AP66" s="24"/>
      <c r="AQ66" s="24"/>
      <c r="AR66" s="24"/>
      <c r="AS66" s="24"/>
      <c r="AT66" s="32"/>
      <c r="AV66" s="47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26">
        <f t="shared" si="90"/>
        <v>-3486588.347439453</v>
      </c>
      <c r="BM66" s="26">
        <f t="shared" si="91"/>
        <v>-4087505.9361522337</v>
      </c>
      <c r="BN66" s="26">
        <f t="shared" si="92"/>
        <v>-4441482.3172427015</v>
      </c>
      <c r="BO66" s="26">
        <f t="shared" si="93"/>
        <v>-4579181.758513635</v>
      </c>
      <c r="BP66" s="26">
        <f t="shared" si="94"/>
        <v>-4528085.6480521783</v>
      </c>
      <c r="BQ66" s="26">
        <f t="shared" si="95"/>
        <v>-4312223.8582656654</v>
      </c>
      <c r="BR66" s="26">
        <f t="shared" si="96"/>
        <v>-3952674.8083053594</v>
      </c>
      <c r="BS66" s="26">
        <f t="shared" si="97"/>
        <v>-3468007.1844841032</v>
      </c>
      <c r="BT66" s="26">
        <f t="shared" si="98"/>
        <v>-2874671.0694032153</v>
      </c>
      <c r="BU66" s="26">
        <f t="shared" si="99"/>
        <v>-2187346.3818392791</v>
      </c>
      <c r="BV66" s="26">
        <f t="shared" si="100"/>
        <v>-1419256.6561784702</v>
      </c>
      <c r="BW66" s="12"/>
      <c r="BX66" s="12"/>
      <c r="BY66" s="12"/>
      <c r="BZ66" s="12"/>
      <c r="CA66" s="12"/>
      <c r="CB66" s="24"/>
      <c r="CC66" s="24"/>
      <c r="CD66" s="24"/>
      <c r="CE66" s="24"/>
      <c r="CF66" s="24"/>
      <c r="CG66" s="24"/>
      <c r="CH66" s="24"/>
      <c r="CI66" s="24"/>
      <c r="CJ66" s="24"/>
      <c r="CK66" s="32"/>
      <c r="CM66" s="47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50">
        <v>0</v>
      </c>
      <c r="DD66" s="14">
        <f t="shared" ref="DC66:DM66" si="118">$C$20/($C$21-$C$22*DC66)</f>
        <v>0.47951790558030016</v>
      </c>
      <c r="DE66" s="14">
        <f t="shared" si="118"/>
        <v>0.62269991964003457</v>
      </c>
      <c r="DF66" s="14">
        <f t="shared" si="118"/>
        <v>0.68365413138804965</v>
      </c>
      <c r="DG66" s="14">
        <f t="shared" si="118"/>
        <v>0.71338189544565556</v>
      </c>
      <c r="DH66" s="14">
        <f t="shared" si="118"/>
        <v>0.7288385559423749</v>
      </c>
      <c r="DI66" s="14">
        <f t="shared" si="118"/>
        <v>0.73714277157833852</v>
      </c>
      <c r="DJ66" s="14">
        <f t="shared" si="118"/>
        <v>0.74168290376483481</v>
      </c>
      <c r="DK66" s="14">
        <f t="shared" si="118"/>
        <v>0.74418883943825731</v>
      </c>
      <c r="DL66" s="14">
        <f t="shared" si="118"/>
        <v>0.74557926227188609</v>
      </c>
      <c r="DM66" s="14">
        <f t="shared" si="118"/>
        <v>0.74635298434150033</v>
      </c>
      <c r="DN66" s="12"/>
      <c r="DO66" s="12"/>
      <c r="DP66" s="12"/>
      <c r="DQ66" s="12"/>
      <c r="DR66" s="12"/>
      <c r="DS66" s="24"/>
      <c r="DT66" s="24"/>
      <c r="DU66" s="24"/>
      <c r="DV66" s="24"/>
      <c r="DW66" s="24"/>
      <c r="DX66" s="24"/>
      <c r="DY66" s="24"/>
      <c r="DZ66" s="24"/>
      <c r="EA66" s="24"/>
      <c r="EB66" s="32"/>
      <c r="ED66" s="47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4">
        <f t="shared" si="102"/>
        <v>0.41589093084200157</v>
      </c>
      <c r="EU66" s="14">
        <f t="shared" si="103"/>
        <v>0.68699736839345749</v>
      </c>
      <c r="EV66" s="14">
        <f t="shared" si="104"/>
        <v>1.1157809379396966</v>
      </c>
      <c r="EW66" s="14">
        <f t="shared" si="105"/>
        <v>1.5415586279426858</v>
      </c>
      <c r="EX66" s="14">
        <f t="shared" si="106"/>
        <v>1.903265867272639</v>
      </c>
      <c r="EY66" s="14">
        <f t="shared" si="107"/>
        <v>2.1689932004462089</v>
      </c>
      <c r="EZ66" s="14">
        <f t="shared" si="108"/>
        <v>2.3236550880035511</v>
      </c>
      <c r="FA66" s="14">
        <f t="shared" si="109"/>
        <v>2.3632564567162868</v>
      </c>
      <c r="FB66" s="14">
        <f t="shared" si="110"/>
        <v>2.2908727929793362</v>
      </c>
      <c r="FC66" s="14">
        <f t="shared" si="111"/>
        <v>2.1137088642877733</v>
      </c>
      <c r="FD66" s="14">
        <f t="shared" si="112"/>
        <v>1.8410720335383572</v>
      </c>
      <c r="FE66" s="12"/>
      <c r="FF66" s="12"/>
      <c r="FG66" s="12"/>
      <c r="FH66" s="12"/>
      <c r="FI66" s="12"/>
      <c r="FJ66" s="24"/>
      <c r="FK66" s="24"/>
      <c r="FL66" s="24"/>
      <c r="FM66" s="24"/>
      <c r="FN66" s="24"/>
      <c r="FO66" s="24"/>
      <c r="FP66" s="24"/>
      <c r="FQ66" s="24"/>
      <c r="FR66" s="24"/>
      <c r="FS66" s="32"/>
    </row>
    <row r="67" spans="5:175" x14ac:dyDescent="0.25">
      <c r="E67" s="46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51">
        <f t="shared" si="89"/>
        <v>0.31268471569951645</v>
      </c>
      <c r="V67" s="51">
        <f t="shared" si="89"/>
        <v>2.5696484489783331</v>
      </c>
      <c r="W67" s="51">
        <f t="shared" si="89"/>
        <v>4.2409740706791315</v>
      </c>
      <c r="X67" s="51">
        <f t="shared" si="89"/>
        <v>5.3699677737148175</v>
      </c>
      <c r="Y67" s="51">
        <f t="shared" si="89"/>
        <v>6.0012777972335725</v>
      </c>
      <c r="Z67" s="51">
        <f t="shared" si="89"/>
        <v>6.1792850735279288</v>
      </c>
      <c r="AA67" s="51">
        <f t="shared" si="89"/>
        <v>5.9470730502292808</v>
      </c>
      <c r="AB67" s="51">
        <f t="shared" si="89"/>
        <v>5.3458306508901519</v>
      </c>
      <c r="AC67" s="51">
        <f t="shared" si="89"/>
        <v>4.4145845471905067</v>
      </c>
      <c r="AD67" s="51">
        <f t="shared" si="89"/>
        <v>3.1901910363293648</v>
      </c>
      <c r="AE67" s="51">
        <f t="shared" si="89"/>
        <v>1.7075464128843429</v>
      </c>
      <c r="AF67" s="12"/>
      <c r="AG67" s="12"/>
      <c r="AH67" s="12"/>
      <c r="AI67" s="12"/>
      <c r="AJ67" s="12"/>
      <c r="AK67" s="24"/>
      <c r="AL67" s="24"/>
      <c r="AM67" s="24"/>
      <c r="AN67" s="24"/>
      <c r="AO67" s="24"/>
      <c r="AP67" s="24"/>
      <c r="AQ67" s="24"/>
      <c r="AR67" s="24"/>
      <c r="AS67" s="24"/>
      <c r="AT67" s="32"/>
      <c r="AV67" s="47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26">
        <f t="shared" si="90"/>
        <v>-2621367.29928964</v>
      </c>
      <c r="BM67" s="26">
        <f t="shared" si="91"/>
        <v>-3236733.8788917731</v>
      </c>
      <c r="BN67" s="26">
        <f t="shared" si="92"/>
        <v>-3636609.6283863774</v>
      </c>
      <c r="BO67" s="26">
        <f t="shared" si="93"/>
        <v>-3844842.7245072052</v>
      </c>
      <c r="BP67" s="26">
        <f t="shared" si="94"/>
        <v>-3883235.8649680344</v>
      </c>
      <c r="BQ67" s="26">
        <f t="shared" si="95"/>
        <v>-3771171.6643148409</v>
      </c>
      <c r="BR67" s="26">
        <f t="shared" si="96"/>
        <v>-3525845.938592474</v>
      </c>
      <c r="BS67" s="26">
        <f t="shared" si="97"/>
        <v>-3162480.0536579704</v>
      </c>
      <c r="BT67" s="26">
        <f t="shared" si="98"/>
        <v>-2694509.2019853811</v>
      </c>
      <c r="BU67" s="26">
        <f t="shared" si="99"/>
        <v>-2133744.8782834252</v>
      </c>
      <c r="BV67" s="26">
        <f t="shared" si="100"/>
        <v>-1490510.7826588124</v>
      </c>
      <c r="BW67" s="12"/>
      <c r="BX67" s="12"/>
      <c r="BY67" s="12"/>
      <c r="BZ67" s="12"/>
      <c r="CA67" s="12"/>
      <c r="CB67" s="24"/>
      <c r="CC67" s="24"/>
      <c r="CD67" s="24"/>
      <c r="CE67" s="24"/>
      <c r="CF67" s="24"/>
      <c r="CG67" s="24"/>
      <c r="CH67" s="24"/>
      <c r="CI67" s="24"/>
      <c r="CJ67" s="24"/>
      <c r="CK67" s="32"/>
      <c r="CM67" s="47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50">
        <v>0</v>
      </c>
      <c r="DD67" s="14">
        <f t="shared" ref="DC67:DM67" si="119">$C$20/($C$21-$C$22*DC67)</f>
        <v>0.47951790558030016</v>
      </c>
      <c r="DE67" s="14">
        <f t="shared" si="119"/>
        <v>0.62269991964003457</v>
      </c>
      <c r="DF67" s="14">
        <f t="shared" si="119"/>
        <v>0.68365413138804965</v>
      </c>
      <c r="DG67" s="14">
        <f t="shared" si="119"/>
        <v>0.71338189544565556</v>
      </c>
      <c r="DH67" s="14">
        <f t="shared" si="119"/>
        <v>0.7288385559423749</v>
      </c>
      <c r="DI67" s="14">
        <f t="shared" si="119"/>
        <v>0.73714277157833852</v>
      </c>
      <c r="DJ67" s="14">
        <f t="shared" si="119"/>
        <v>0.74168290376483481</v>
      </c>
      <c r="DK67" s="14">
        <f t="shared" si="119"/>
        <v>0.74418883943825731</v>
      </c>
      <c r="DL67" s="14">
        <f t="shared" si="119"/>
        <v>0.74557926227188609</v>
      </c>
      <c r="DM67" s="14">
        <f t="shared" si="119"/>
        <v>0.74635298434150033</v>
      </c>
      <c r="DN67" s="12"/>
      <c r="DO67" s="12"/>
      <c r="DP67" s="12"/>
      <c r="DQ67" s="12"/>
      <c r="DR67" s="12"/>
      <c r="DS67" s="24"/>
      <c r="DT67" s="24"/>
      <c r="DU67" s="24"/>
      <c r="DV67" s="24"/>
      <c r="DW67" s="24"/>
      <c r="DX67" s="24"/>
      <c r="DY67" s="24"/>
      <c r="DZ67" s="24"/>
      <c r="EA67" s="24"/>
      <c r="EB67" s="32"/>
      <c r="ED67" s="47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4">
        <f t="shared" si="102"/>
        <v>0.31268471569951645</v>
      </c>
      <c r="EU67" s="14">
        <f t="shared" si="103"/>
        <v>0.5360254449859162</v>
      </c>
      <c r="EV67" s="14">
        <f t="shared" si="104"/>
        <v>0.89709556951733904</v>
      </c>
      <c r="EW67" s="14">
        <f t="shared" si="105"/>
        <v>1.2671694140287117</v>
      </c>
      <c r="EX67" s="14">
        <f t="shared" si="106"/>
        <v>1.5930876989811715</v>
      </c>
      <c r="EY67" s="14">
        <f t="shared" si="107"/>
        <v>1.8448289395150055</v>
      </c>
      <c r="EZ67" s="14">
        <f t="shared" si="108"/>
        <v>2.0064326278436808</v>
      </c>
      <c r="FA67" s="14">
        <f t="shared" si="109"/>
        <v>2.0716087650145285</v>
      </c>
      <c r="FB67" s="14">
        <f t="shared" si="110"/>
        <v>2.0404799822782254</v>
      </c>
      <c r="FC67" s="14">
        <f t="shared" si="111"/>
        <v>1.917079841516051</v>
      </c>
      <c r="FD67" s="14">
        <f t="shared" si="112"/>
        <v>1.7075464128843429</v>
      </c>
      <c r="FE67" s="12"/>
      <c r="FF67" s="12"/>
      <c r="FG67" s="12"/>
      <c r="FH67" s="12"/>
      <c r="FI67" s="12"/>
      <c r="FJ67" s="24"/>
      <c r="FK67" s="24"/>
      <c r="FL67" s="24"/>
      <c r="FM67" s="24"/>
      <c r="FN67" s="24"/>
      <c r="FO67" s="24"/>
      <c r="FP67" s="24"/>
      <c r="FQ67" s="24"/>
      <c r="FR67" s="24"/>
      <c r="FS67" s="32"/>
    </row>
    <row r="68" spans="5:175" x14ac:dyDescent="0.25">
      <c r="E68" s="46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51">
        <f t="shared" si="89"/>
        <v>0.2350962520392493</v>
      </c>
      <c r="V68" s="51">
        <f t="shared" si="89"/>
        <v>2.1693268004994364</v>
      </c>
      <c r="W68" s="51">
        <f t="shared" si="89"/>
        <v>3.6453256444616331</v>
      </c>
      <c r="X68" s="51">
        <f t="shared" si="89"/>
        <v>4.6819944301608913</v>
      </c>
      <c r="Y68" s="51">
        <f t="shared" si="89"/>
        <v>5.3023627948366103</v>
      </c>
      <c r="Z68" s="51">
        <f t="shared" si="89"/>
        <v>5.5314073086832476</v>
      </c>
      <c r="AA68" s="51">
        <f t="shared" si="89"/>
        <v>5.3944316523104217</v>
      </c>
      <c r="AB68" s="51">
        <f t="shared" si="89"/>
        <v>4.9158655077328781</v>
      </c>
      <c r="AC68" s="51">
        <f t="shared" si="89"/>
        <v>4.1183749197927213</v>
      </c>
      <c r="AD68" s="51">
        <f t="shared" si="89"/>
        <v>3.0222057989720339</v>
      </c>
      <c r="AE68" s="51">
        <f t="shared" si="89"/>
        <v>1.6447068133931</v>
      </c>
      <c r="AF68" s="12"/>
      <c r="AG68" s="12"/>
      <c r="AH68" s="12"/>
      <c r="AI68" s="12"/>
      <c r="AJ68" s="12"/>
      <c r="AK68" s="24"/>
      <c r="AL68" s="24"/>
      <c r="AM68" s="24"/>
      <c r="AN68" s="24"/>
      <c r="AO68" s="24"/>
      <c r="AP68" s="24"/>
      <c r="AQ68" s="24"/>
      <c r="AR68" s="24"/>
      <c r="AS68" s="24"/>
      <c r="AT68" s="32"/>
      <c r="AV68" s="47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26">
        <f t="shared" si="90"/>
        <v>-1970910.6212708834</v>
      </c>
      <c r="BM68" s="26">
        <f t="shared" si="91"/>
        <v>-2587081.6619094359</v>
      </c>
      <c r="BN68" s="26">
        <f t="shared" si="92"/>
        <v>-3017984.5670380271</v>
      </c>
      <c r="BO68" s="26">
        <f t="shared" si="93"/>
        <v>-3281418.2197204805</v>
      </c>
      <c r="BP68" s="26">
        <f t="shared" si="94"/>
        <v>-3394059.311335694</v>
      </c>
      <c r="BQ68" s="26">
        <f t="shared" si="95"/>
        <v>-3370996.982230247</v>
      </c>
      <c r="BR68" s="26">
        <f t="shared" si="96"/>
        <v>-3225749.480619411</v>
      </c>
      <c r="BS68" s="26">
        <f t="shared" si="97"/>
        <v>-2970282.7949833269</v>
      </c>
      <c r="BT68" s="26">
        <f t="shared" si="98"/>
        <v>-2615020.0171349491</v>
      </c>
      <c r="BU68" s="26">
        <f t="shared" si="99"/>
        <v>-2168831.9718111274</v>
      </c>
      <c r="BV68" s="26">
        <f t="shared" si="100"/>
        <v>-1639000.6816684064</v>
      </c>
      <c r="BW68" s="12"/>
      <c r="BX68" s="12"/>
      <c r="BY68" s="12"/>
      <c r="BZ68" s="12"/>
      <c r="CA68" s="12"/>
      <c r="CB68" s="24"/>
      <c r="CC68" s="24"/>
      <c r="CD68" s="24"/>
      <c r="CE68" s="24"/>
      <c r="CF68" s="24"/>
      <c r="CG68" s="24"/>
      <c r="CH68" s="24"/>
      <c r="CI68" s="24"/>
      <c r="CJ68" s="24"/>
      <c r="CK68" s="32"/>
      <c r="CM68" s="47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50">
        <v>0</v>
      </c>
      <c r="DD68" s="14">
        <f t="shared" ref="DC68:DM68" si="120">$C$20/($C$21-$C$22*DC68)</f>
        <v>0.47951790558030016</v>
      </c>
      <c r="DE68" s="14">
        <f t="shared" si="120"/>
        <v>0.62269991964003457</v>
      </c>
      <c r="DF68" s="14">
        <f t="shared" si="120"/>
        <v>0.68365413138804965</v>
      </c>
      <c r="DG68" s="14">
        <f t="shared" si="120"/>
        <v>0.71338189544565556</v>
      </c>
      <c r="DH68" s="14">
        <f t="shared" si="120"/>
        <v>0.7288385559423749</v>
      </c>
      <c r="DI68" s="14">
        <f t="shared" si="120"/>
        <v>0.73714277157833852</v>
      </c>
      <c r="DJ68" s="14">
        <f t="shared" si="120"/>
        <v>0.74168290376483481</v>
      </c>
      <c r="DK68" s="14">
        <f t="shared" si="120"/>
        <v>0.74418883943825731</v>
      </c>
      <c r="DL68" s="14">
        <f t="shared" si="120"/>
        <v>0.74557926227188609</v>
      </c>
      <c r="DM68" s="14">
        <f t="shared" si="120"/>
        <v>0.74635298434150033</v>
      </c>
      <c r="DN68" s="12"/>
      <c r="DO68" s="12"/>
      <c r="DP68" s="12"/>
      <c r="DQ68" s="12"/>
      <c r="DR68" s="12"/>
      <c r="DS68" s="24"/>
      <c r="DT68" s="24"/>
      <c r="DU68" s="24"/>
      <c r="DV68" s="24"/>
      <c r="DW68" s="24"/>
      <c r="DX68" s="24"/>
      <c r="DY68" s="24"/>
      <c r="DZ68" s="24"/>
      <c r="EA68" s="24"/>
      <c r="EB68" s="32"/>
      <c r="ED68" s="47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4">
        <f t="shared" si="102"/>
        <v>0.2350962520392493</v>
      </c>
      <c r="EU68" s="14">
        <f t="shared" si="103"/>
        <v>0.42132788230903595</v>
      </c>
      <c r="EV68" s="14">
        <f t="shared" si="104"/>
        <v>0.72984808904535647</v>
      </c>
      <c r="EW68" s="14">
        <f t="shared" si="105"/>
        <v>1.0570121993525574</v>
      </c>
      <c r="EX68" s="14">
        <f t="shared" si="106"/>
        <v>1.3563569644862026</v>
      </c>
      <c r="EY68" s="14">
        <f t="shared" si="107"/>
        <v>1.5997375330834811</v>
      </c>
      <c r="EZ68" s="14">
        <f t="shared" si="108"/>
        <v>1.770736927233852</v>
      </c>
      <c r="FA68" s="14">
        <f t="shared" si="109"/>
        <v>1.8613372384287437</v>
      </c>
      <c r="FB68" s="14">
        <f t="shared" si="110"/>
        <v>1.8692830937121518</v>
      </c>
      <c r="FC68" s="14">
        <f t="shared" si="111"/>
        <v>1.7959465063888618</v>
      </c>
      <c r="FD68" s="14">
        <f t="shared" si="112"/>
        <v>1.6447068133931</v>
      </c>
      <c r="FE68" s="12"/>
      <c r="FF68" s="12"/>
      <c r="FG68" s="12"/>
      <c r="FH68" s="12"/>
      <c r="FI68" s="12"/>
      <c r="FJ68" s="24"/>
      <c r="FK68" s="24"/>
      <c r="FL68" s="24"/>
      <c r="FM68" s="24"/>
      <c r="FN68" s="24"/>
      <c r="FO68" s="24"/>
      <c r="FP68" s="24"/>
      <c r="FQ68" s="24"/>
      <c r="FR68" s="24"/>
      <c r="FS68" s="32"/>
    </row>
    <row r="69" spans="5:175" x14ac:dyDescent="0.25">
      <c r="E69" s="46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51">
        <f t="shared" si="89"/>
        <v>0.17676884290692396</v>
      </c>
      <c r="V69" s="51">
        <f t="shared" si="89"/>
        <v>1.8773855567023825</v>
      </c>
      <c r="W69" s="51">
        <f t="shared" si="89"/>
        <v>3.2172899249746902</v>
      </c>
      <c r="X69" s="51">
        <f t="shared" si="89"/>
        <v>4.1976538633306983</v>
      </c>
      <c r="Y69" s="51">
        <f t="shared" si="89"/>
        <v>4.8249328972646577</v>
      </c>
      <c r="Z69" s="51">
        <f t="shared" si="89"/>
        <v>5.1083580160303477</v>
      </c>
      <c r="AA69" s="51">
        <f t="shared" si="89"/>
        <v>5.0579003892395002</v>
      </c>
      <c r="AB69" s="51">
        <f t="shared" si="89"/>
        <v>4.6825726439329856</v>
      </c>
      <c r="AC69" s="51">
        <f t="shared" si="89"/>
        <v>3.988955975425275</v>
      </c>
      <c r="AD69" s="51">
        <f t="shared" si="89"/>
        <v>2.9798627514534362</v>
      </c>
      <c r="AE69" s="51">
        <f t="shared" si="89"/>
        <v>1.6530608455437941</v>
      </c>
      <c r="AF69" s="12"/>
      <c r="AG69" s="12"/>
      <c r="AH69" s="12"/>
      <c r="AI69" s="12"/>
      <c r="AJ69" s="12"/>
      <c r="AK69" s="24"/>
      <c r="AL69" s="24"/>
      <c r="AM69" s="24"/>
      <c r="AN69" s="24"/>
      <c r="AO69" s="24"/>
      <c r="AP69" s="24"/>
      <c r="AQ69" s="24"/>
      <c r="AR69" s="24"/>
      <c r="AS69" s="24"/>
      <c r="AT69" s="32"/>
      <c r="AV69" s="47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26">
        <f t="shared" si="90"/>
        <v>-1481927.4530027644</v>
      </c>
      <c r="BM69" s="26">
        <f t="shared" si="91"/>
        <v>-2094795.3768857983</v>
      </c>
      <c r="BN69" s="26">
        <f t="shared" si="92"/>
        <v>-2550234.234298334</v>
      </c>
      <c r="BO69" s="26">
        <f t="shared" si="93"/>
        <v>-2860959.6055216594</v>
      </c>
      <c r="BP69" s="26">
        <f t="shared" si="94"/>
        <v>-3039271.1945550758</v>
      </c>
      <c r="BQ69" s="26">
        <f t="shared" si="95"/>
        <v>-3096520.9470024211</v>
      </c>
      <c r="BR69" s="26">
        <f t="shared" si="96"/>
        <v>-3042962.028105611</v>
      </c>
      <c r="BS69" s="26">
        <f t="shared" si="97"/>
        <v>-2887610.5686482708</v>
      </c>
      <c r="BT69" s="26">
        <f t="shared" si="98"/>
        <v>-2638103.0140463482</v>
      </c>
      <c r="BU69" s="26">
        <f t="shared" si="99"/>
        <v>-2300533.3674941063</v>
      </c>
      <c r="BV69" s="26">
        <f t="shared" si="100"/>
        <v>-1879255.092905941</v>
      </c>
      <c r="BW69" s="12"/>
      <c r="BX69" s="12"/>
      <c r="BY69" s="12"/>
      <c r="BZ69" s="12"/>
      <c r="CA69" s="12"/>
      <c r="CB69" s="24"/>
      <c r="CC69" s="24"/>
      <c r="CD69" s="24"/>
      <c r="CE69" s="24"/>
      <c r="CF69" s="24"/>
      <c r="CG69" s="24"/>
      <c r="CH69" s="24"/>
      <c r="CI69" s="24"/>
      <c r="CJ69" s="24"/>
      <c r="CK69" s="32"/>
      <c r="CM69" s="47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50">
        <v>0</v>
      </c>
      <c r="DD69" s="14">
        <f t="shared" ref="DC69:DM69" si="121">$C$20/($C$21-$C$22*DC69)</f>
        <v>0.47951790558030016</v>
      </c>
      <c r="DE69" s="14">
        <f t="shared" si="121"/>
        <v>0.62269991964003457</v>
      </c>
      <c r="DF69" s="14">
        <f t="shared" si="121"/>
        <v>0.68365413138804965</v>
      </c>
      <c r="DG69" s="14">
        <f t="shared" si="121"/>
        <v>0.71338189544565556</v>
      </c>
      <c r="DH69" s="14">
        <f t="shared" si="121"/>
        <v>0.7288385559423749</v>
      </c>
      <c r="DI69" s="14">
        <f t="shared" si="121"/>
        <v>0.73714277157833852</v>
      </c>
      <c r="DJ69" s="14">
        <f t="shared" si="121"/>
        <v>0.74168290376483481</v>
      </c>
      <c r="DK69" s="14">
        <f t="shared" si="121"/>
        <v>0.74418883943825731</v>
      </c>
      <c r="DL69" s="14">
        <f t="shared" si="121"/>
        <v>0.74557926227188609</v>
      </c>
      <c r="DM69" s="14">
        <f t="shared" si="121"/>
        <v>0.74635298434150033</v>
      </c>
      <c r="DN69" s="12"/>
      <c r="DO69" s="12"/>
      <c r="DP69" s="12"/>
      <c r="DQ69" s="12"/>
      <c r="DR69" s="12"/>
      <c r="DS69" s="24"/>
      <c r="DT69" s="24"/>
      <c r="DU69" s="24"/>
      <c r="DV69" s="24"/>
      <c r="DW69" s="24"/>
      <c r="DX69" s="24"/>
      <c r="DY69" s="24"/>
      <c r="DZ69" s="24"/>
      <c r="EA69" s="24"/>
      <c r="EB69" s="32"/>
      <c r="ED69" s="47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4">
        <f t="shared" si="102"/>
        <v>0.17676884290692396</v>
      </c>
      <c r="EU69" s="14">
        <f t="shared" si="103"/>
        <v>0.33463743023391795</v>
      </c>
      <c r="EV69" s="14">
        <f t="shared" si="104"/>
        <v>0.60341120160198392</v>
      </c>
      <c r="EW69" s="14">
        <f t="shared" si="105"/>
        <v>0.89906855444560263</v>
      </c>
      <c r="EX69" s="14">
        <f t="shared" si="106"/>
        <v>1.1807227731739203</v>
      </c>
      <c r="EY69" s="14">
        <f t="shared" si="107"/>
        <v>1.4219652002366547</v>
      </c>
      <c r="EZ69" s="14">
        <f t="shared" si="108"/>
        <v>1.6061758123738306</v>
      </c>
      <c r="FA69" s="14">
        <f t="shared" si="109"/>
        <v>1.724032193089478</v>
      </c>
      <c r="FB69" s="14">
        <f t="shared" si="110"/>
        <v>1.7713753727358501</v>
      </c>
      <c r="FC69" s="14">
        <f t="shared" si="111"/>
        <v>1.7473748657423538</v>
      </c>
      <c r="FD69" s="14">
        <f t="shared" si="112"/>
        <v>1.6530608455437941</v>
      </c>
      <c r="FE69" s="12"/>
      <c r="FF69" s="12"/>
      <c r="FG69" s="12"/>
      <c r="FH69" s="12"/>
      <c r="FI69" s="12"/>
      <c r="FJ69" s="24"/>
      <c r="FK69" s="24"/>
      <c r="FL69" s="24"/>
      <c r="FM69" s="24"/>
      <c r="FN69" s="24"/>
      <c r="FO69" s="24"/>
      <c r="FP69" s="24"/>
      <c r="FQ69" s="24"/>
      <c r="FR69" s="24"/>
      <c r="FS69" s="32"/>
    </row>
    <row r="70" spans="5:175" x14ac:dyDescent="0.25">
      <c r="E70" s="46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51">
        <f t="shared" si="89"/>
        <v>0.13292381829812139</v>
      </c>
      <c r="V70" s="51">
        <f t="shared" si="89"/>
        <v>1.6762942222152897</v>
      </c>
      <c r="W70" s="51">
        <f t="shared" si="89"/>
        <v>2.933417868976103</v>
      </c>
      <c r="X70" s="51">
        <f t="shared" si="89"/>
        <v>3.8923915377675824</v>
      </c>
      <c r="Y70" s="51">
        <f t="shared" si="89"/>
        <v>4.5466308017582371</v>
      </c>
      <c r="Z70" s="51">
        <f t="shared" si="89"/>
        <v>4.8921224440121431</v>
      </c>
      <c r="AA70" s="51">
        <f t="shared" si="89"/>
        <v>4.9250135304125733</v>
      </c>
      <c r="AB70" s="51">
        <f t="shared" si="89"/>
        <v>4.6393988145547507</v>
      </c>
      <c r="AC70" s="51">
        <f t="shared" si="89"/>
        <v>4.0251814162530044</v>
      </c>
      <c r="AD70" s="51">
        <f t="shared" si="89"/>
        <v>3.0658895981339365</v>
      </c>
      <c r="AE70" s="51">
        <f t="shared" si="89"/>
        <v>1.7363354733141203</v>
      </c>
      <c r="AF70" s="12"/>
      <c r="AG70" s="12"/>
      <c r="AH70" s="12"/>
      <c r="AI70" s="12"/>
      <c r="AJ70" s="12"/>
      <c r="AK70" s="24"/>
      <c r="AL70" s="24"/>
      <c r="AM70" s="24"/>
      <c r="AN70" s="24"/>
      <c r="AO70" s="24"/>
      <c r="AP70" s="24"/>
      <c r="AQ70" s="24"/>
      <c r="AR70" s="24"/>
      <c r="AS70" s="24"/>
      <c r="AT70" s="32"/>
      <c r="AV70" s="47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26">
        <f t="shared" si="90"/>
        <v>-1114356.1967968368</v>
      </c>
      <c r="BM70" s="26">
        <f t="shared" si="91"/>
        <v>-1726384.9255617205</v>
      </c>
      <c r="BN70" s="26">
        <f t="shared" si="92"/>
        <v>-2205957.2760004965</v>
      </c>
      <c r="BO70" s="26">
        <f t="shared" si="93"/>
        <v>-2561757.4091994571</v>
      </c>
      <c r="BP70" s="26">
        <f t="shared" si="94"/>
        <v>-2802569.3893215447</v>
      </c>
      <c r="BQ70" s="26">
        <f t="shared" si="95"/>
        <v>-2936706.9242536211</v>
      </c>
      <c r="BR70" s="26">
        <f t="shared" si="96"/>
        <v>-2971741.4716924611</v>
      </c>
      <c r="BS70" s="26">
        <f t="shared" si="97"/>
        <v>-2914245.124318969</v>
      </c>
      <c r="BT70" s="26">
        <f t="shared" si="98"/>
        <v>-2769526.9696352389</v>
      </c>
      <c r="BU70" s="26">
        <f t="shared" si="99"/>
        <v>-2541342.2787281652</v>
      </c>
      <c r="BV70" s="26">
        <f t="shared" si="100"/>
        <v>-2231553.3491926361</v>
      </c>
      <c r="BW70" s="12"/>
      <c r="BX70" s="12"/>
      <c r="BY70" s="12"/>
      <c r="BZ70" s="12"/>
      <c r="CA70" s="12"/>
      <c r="CB70" s="24"/>
      <c r="CC70" s="24"/>
      <c r="CD70" s="24"/>
      <c r="CE70" s="24"/>
      <c r="CF70" s="24"/>
      <c r="CG70" s="24"/>
      <c r="CH70" s="24"/>
      <c r="CI70" s="24"/>
      <c r="CJ70" s="24"/>
      <c r="CK70" s="32"/>
      <c r="CM70" s="47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50">
        <v>0</v>
      </c>
      <c r="DD70" s="14">
        <f t="shared" ref="DC70:DM70" si="122">$C$20/($C$21-$C$22*DC70)</f>
        <v>0.47951790558030016</v>
      </c>
      <c r="DE70" s="14">
        <f t="shared" si="122"/>
        <v>0.62269991964003457</v>
      </c>
      <c r="DF70" s="14">
        <f t="shared" si="122"/>
        <v>0.68365413138804965</v>
      </c>
      <c r="DG70" s="14">
        <f t="shared" si="122"/>
        <v>0.71338189544565556</v>
      </c>
      <c r="DH70" s="14">
        <f t="shared" si="122"/>
        <v>0.7288385559423749</v>
      </c>
      <c r="DI70" s="14">
        <f t="shared" si="122"/>
        <v>0.73714277157833852</v>
      </c>
      <c r="DJ70" s="14">
        <f t="shared" si="122"/>
        <v>0.74168290376483481</v>
      </c>
      <c r="DK70" s="14">
        <f t="shared" si="122"/>
        <v>0.74418883943825731</v>
      </c>
      <c r="DL70" s="14">
        <f t="shared" si="122"/>
        <v>0.74557926227188609</v>
      </c>
      <c r="DM70" s="14">
        <f t="shared" si="122"/>
        <v>0.74635298434150033</v>
      </c>
      <c r="DN70" s="12"/>
      <c r="DO70" s="12"/>
      <c r="DP70" s="12"/>
      <c r="DQ70" s="12"/>
      <c r="DR70" s="12"/>
      <c r="DS70" s="24"/>
      <c r="DT70" s="24"/>
      <c r="DU70" s="24"/>
      <c r="DV70" s="24"/>
      <c r="DW70" s="24"/>
      <c r="DX70" s="24"/>
      <c r="DY70" s="24"/>
      <c r="DZ70" s="24"/>
      <c r="EA70" s="24"/>
      <c r="EB70" s="32"/>
      <c r="ED70" s="47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4">
        <f t="shared" si="102"/>
        <v>0.13292381829812139</v>
      </c>
      <c r="EU70" s="14">
        <f t="shared" si="103"/>
        <v>0.26966782949204127</v>
      </c>
      <c r="EV70" s="14">
        <f t="shared" si="104"/>
        <v>0.50962597120067887</v>
      </c>
      <c r="EW70" s="14">
        <f t="shared" si="105"/>
        <v>0.78406860624940311</v>
      </c>
      <c r="EX70" s="14">
        <f t="shared" si="106"/>
        <v>1.0566792198966217</v>
      </c>
      <c r="EY70" s="14">
        <f t="shared" si="107"/>
        <v>1.3025826945095855</v>
      </c>
      <c r="EZ70" s="14">
        <f t="shared" si="108"/>
        <v>1.5051142297944258</v>
      </c>
      <c r="FA70" s="14">
        <f t="shared" si="109"/>
        <v>1.6539905735679723</v>
      </c>
      <c r="FB70" s="14">
        <f t="shared" si="110"/>
        <v>1.7435805943718852</v>
      </c>
      <c r="FC70" s="14">
        <f t="shared" si="111"/>
        <v>1.7713138768838887</v>
      </c>
      <c r="FD70" s="14">
        <f t="shared" si="112"/>
        <v>1.7363354733141203</v>
      </c>
      <c r="FE70" s="12"/>
      <c r="FF70" s="12"/>
      <c r="FG70" s="12"/>
      <c r="FH70" s="12"/>
      <c r="FI70" s="12"/>
      <c r="FJ70" s="24"/>
      <c r="FK70" s="24"/>
      <c r="FL70" s="24"/>
      <c r="FM70" s="24"/>
      <c r="FN70" s="24"/>
      <c r="FO70" s="24"/>
      <c r="FP70" s="24"/>
      <c r="FQ70" s="24"/>
      <c r="FR70" s="24"/>
      <c r="FS70" s="32"/>
    </row>
    <row r="71" spans="5:175" x14ac:dyDescent="0.25">
      <c r="E71" s="46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51">
        <f t="shared" si="89"/>
        <v>9.996902647735538E-2</v>
      </c>
      <c r="V71" s="51">
        <f t="shared" si="89"/>
        <v>1.5532700729693172</v>
      </c>
      <c r="W71" s="51">
        <f t="shared" si="89"/>
        <v>2.7770056152022851</v>
      </c>
      <c r="X71" s="51">
        <f t="shared" si="89"/>
        <v>3.7493999348571139</v>
      </c>
      <c r="Y71" s="51">
        <f t="shared" si="89"/>
        <v>4.4532399817394737</v>
      </c>
      <c r="Z71" s="51">
        <f t="shared" si="89"/>
        <v>4.8728596261800723</v>
      </c>
      <c r="AA71" s="51">
        <f t="shared" si="89"/>
        <v>4.9912830687367755</v>
      </c>
      <c r="AB71" s="51">
        <f t="shared" si="89"/>
        <v>4.787369260938938</v>
      </c>
      <c r="AC71" s="51">
        <f t="shared" si="89"/>
        <v>4.2327962338368934</v>
      </c>
      <c r="AD71" s="51">
        <f t="shared" si="89"/>
        <v>3.288713380900639</v>
      </c>
      <c r="AE71" s="51">
        <f t="shared" si="89"/>
        <v>1.9018701493423702</v>
      </c>
      <c r="AF71" s="12"/>
      <c r="AG71" s="12"/>
      <c r="AH71" s="12"/>
      <c r="AI71" s="12"/>
      <c r="AJ71" s="12"/>
      <c r="AK71" s="24"/>
      <c r="AL71" s="24"/>
      <c r="AM71" s="24"/>
      <c r="AN71" s="24"/>
      <c r="AO71" s="24"/>
      <c r="AP71" s="24"/>
      <c r="AQ71" s="24"/>
      <c r="AR71" s="24"/>
      <c r="AS71" s="24"/>
      <c r="AT71" s="32"/>
      <c r="AV71" s="47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26">
        <f t="shared" si="90"/>
        <v>-838082.33595079067</v>
      </c>
      <c r="BM71" s="26">
        <f t="shared" si="91"/>
        <v>-1456277.335580278</v>
      </c>
      <c r="BN71" s="26">
        <f t="shared" si="92"/>
        <v>-1964070.9831368867</v>
      </c>
      <c r="BO71" s="26">
        <f t="shared" si="93"/>
        <v>-2367207.1021739542</v>
      </c>
      <c r="BP71" s="26">
        <f t="shared" si="94"/>
        <v>-2671897.6923448476</v>
      </c>
      <c r="BQ71" s="26">
        <f t="shared" si="95"/>
        <v>-2884246.1843960201</v>
      </c>
      <c r="BR71" s="26">
        <f t="shared" si="96"/>
        <v>-3009902.1778908405</v>
      </c>
      <c r="BS71" s="26">
        <f t="shared" si="97"/>
        <v>-3053728.4131945586</v>
      </c>
      <c r="BT71" s="26">
        <f t="shared" si="98"/>
        <v>-3019456.3824777929</v>
      </c>
      <c r="BU71" s="26">
        <f t="shared" si="99"/>
        <v>-2909306.671329394</v>
      </c>
      <c r="BV71" s="26">
        <f t="shared" si="100"/>
        <v>-2723548.456179244</v>
      </c>
      <c r="BW71" s="12"/>
      <c r="BX71" s="12"/>
      <c r="BY71" s="12"/>
      <c r="BZ71" s="12"/>
      <c r="CA71" s="12"/>
      <c r="CB71" s="24"/>
      <c r="CC71" s="24"/>
      <c r="CD71" s="24"/>
      <c r="CE71" s="24"/>
      <c r="CF71" s="24"/>
      <c r="CG71" s="24"/>
      <c r="CH71" s="24"/>
      <c r="CI71" s="24"/>
      <c r="CJ71" s="24"/>
      <c r="CK71" s="32"/>
      <c r="CM71" s="47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50">
        <v>0</v>
      </c>
      <c r="DD71" s="14">
        <f t="shared" ref="DC71:DM71" si="123">$C$20/($C$21-$C$22*DC71)</f>
        <v>0.47951790558030016</v>
      </c>
      <c r="DE71" s="14">
        <f t="shared" si="123"/>
        <v>0.62269991964003457</v>
      </c>
      <c r="DF71" s="14">
        <f t="shared" si="123"/>
        <v>0.68365413138804965</v>
      </c>
      <c r="DG71" s="14">
        <f t="shared" si="123"/>
        <v>0.71338189544565556</v>
      </c>
      <c r="DH71" s="14">
        <f t="shared" si="123"/>
        <v>0.7288385559423749</v>
      </c>
      <c r="DI71" s="14">
        <f t="shared" si="123"/>
        <v>0.73714277157833852</v>
      </c>
      <c r="DJ71" s="14">
        <f t="shared" si="123"/>
        <v>0.74168290376483481</v>
      </c>
      <c r="DK71" s="14">
        <f t="shared" si="123"/>
        <v>0.74418883943825731</v>
      </c>
      <c r="DL71" s="14">
        <f t="shared" si="123"/>
        <v>0.74557926227188609</v>
      </c>
      <c r="DM71" s="14">
        <f t="shared" si="123"/>
        <v>0.74635298434150033</v>
      </c>
      <c r="DN71" s="12"/>
      <c r="DO71" s="12"/>
      <c r="DP71" s="12"/>
      <c r="DQ71" s="12"/>
      <c r="DR71" s="12"/>
      <c r="DS71" s="24"/>
      <c r="DT71" s="24"/>
      <c r="DU71" s="24"/>
      <c r="DV71" s="24"/>
      <c r="DW71" s="24"/>
      <c r="DX71" s="24"/>
      <c r="DY71" s="24"/>
      <c r="DZ71" s="24"/>
      <c r="EA71" s="24"/>
      <c r="EB71" s="32"/>
      <c r="ED71" s="47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4">
        <f t="shared" si="102"/>
        <v>9.996902647735538E-2</v>
      </c>
      <c r="EU71" s="14">
        <f t="shared" si="103"/>
        <v>0.22164615658278444</v>
      </c>
      <c r="EV71" s="14">
        <f t="shared" si="104"/>
        <v>0.4422545770684092</v>
      </c>
      <c r="EW71" s="14">
        <f t="shared" si="105"/>
        <v>0.70492402327847992</v>
      </c>
      <c r="EX71" s="14">
        <f t="shared" si="106"/>
        <v>0.97703014537452471</v>
      </c>
      <c r="EY71" s="14">
        <f t="shared" si="107"/>
        <v>1.2350200820623352</v>
      </c>
      <c r="EZ71" s="14">
        <f t="shared" si="108"/>
        <v>1.4623084231593049</v>
      </c>
      <c r="FA71" s="14">
        <f t="shared" si="109"/>
        <v>1.6479766591819338</v>
      </c>
      <c r="FB71" s="14">
        <f t="shared" si="110"/>
        <v>1.7853724396593798</v>
      </c>
      <c r="FC71" s="14">
        <f t="shared" si="111"/>
        <v>1.8707184380170327</v>
      </c>
      <c r="FD71" s="14">
        <f t="shared" si="112"/>
        <v>1.9018701493423702</v>
      </c>
      <c r="FE71" s="12"/>
      <c r="FF71" s="12"/>
      <c r="FG71" s="12"/>
      <c r="FH71" s="12"/>
      <c r="FI71" s="12"/>
      <c r="FJ71" s="24"/>
      <c r="FK71" s="24"/>
      <c r="FL71" s="24"/>
      <c r="FM71" s="24"/>
      <c r="FN71" s="24"/>
      <c r="FO71" s="24"/>
      <c r="FP71" s="24"/>
      <c r="FQ71" s="24"/>
      <c r="FR71" s="24"/>
      <c r="FS71" s="32"/>
    </row>
    <row r="72" spans="5:175" x14ac:dyDescent="0.25">
      <c r="E72" s="46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51">
        <f t="shared" si="89"/>
        <v>7.5204534814008059E-2</v>
      </c>
      <c r="V72" s="51">
        <f t="shared" si="89"/>
        <v>1.4994287004341529</v>
      </c>
      <c r="W72" s="51">
        <f t="shared" si="89"/>
        <v>2.7370674613855508</v>
      </c>
      <c r="X72" s="51">
        <f t="shared" si="89"/>
        <v>3.758652345386194</v>
      </c>
      <c r="Y72" s="51">
        <f t="shared" si="89"/>
        <v>4.5379269520108547</v>
      </c>
      <c r="Z72" s="51">
        <f t="shared" si="89"/>
        <v>5.0484408392038898</v>
      </c>
      <c r="AA72" s="51">
        <f t="shared" si="89"/>
        <v>5.2600774400312567</v>
      </c>
      <c r="AB72" s="51">
        <f t="shared" si="89"/>
        <v>5.1353100239057774</v>
      </c>
      <c r="AC72" s="51">
        <f t="shared" si="89"/>
        <v>4.6249538210256027</v>
      </c>
      <c r="AD72" s="51">
        <f t="shared" si="89"/>
        <v>3.6631424891673894</v>
      </c>
      <c r="AE72" s="51">
        <f t="shared" si="89"/>
        <v>2.1611999534467046</v>
      </c>
      <c r="AF72" s="12"/>
      <c r="AG72" s="12"/>
      <c r="AH72" s="12"/>
      <c r="AI72" s="12"/>
      <c r="AJ72" s="12"/>
      <c r="AK72" s="24"/>
      <c r="AL72" s="24"/>
      <c r="AM72" s="24"/>
      <c r="AN72" s="24"/>
      <c r="AO72" s="24"/>
      <c r="AP72" s="24"/>
      <c r="AQ72" s="24"/>
      <c r="AR72" s="24"/>
      <c r="AS72" s="24"/>
      <c r="AT72" s="32"/>
      <c r="AV72" s="47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26">
        <f t="shared" si="90"/>
        <v>-630471.20125045138</v>
      </c>
      <c r="BM72" s="26">
        <f t="shared" si="91"/>
        <v>-1265007.131071459</v>
      </c>
      <c r="BN72" s="26">
        <f t="shared" si="92"/>
        <v>-1808500.2929310619</v>
      </c>
      <c r="BO72" s="26">
        <f t="shared" si="93"/>
        <v>-2264883.7035039719</v>
      </c>
      <c r="BP72" s="26">
        <f t="shared" si="94"/>
        <v>-2638832.9659747006</v>
      </c>
      <c r="BQ72" s="26">
        <f t="shared" si="95"/>
        <v>-2935222.2441893877</v>
      </c>
      <c r="BR72" s="26">
        <f t="shared" si="96"/>
        <v>-3158759.9426059769</v>
      </c>
      <c r="BS72" s="26">
        <f t="shared" si="97"/>
        <v>-3313635.0911635999</v>
      </c>
      <c r="BT72" s="26">
        <f t="shared" si="98"/>
        <v>-3403151.2597083314</v>
      </c>
      <c r="BU72" s="26">
        <f t="shared" si="99"/>
        <v>-3429323.8331569955</v>
      </c>
      <c r="BV72" s="26">
        <f t="shared" si="100"/>
        <v>-3392414.107271269</v>
      </c>
      <c r="BW72" s="12"/>
      <c r="BX72" s="12"/>
      <c r="BY72" s="12"/>
      <c r="BZ72" s="12"/>
      <c r="CA72" s="12"/>
      <c r="CB72" s="24"/>
      <c r="CC72" s="24"/>
      <c r="CD72" s="24"/>
      <c r="CE72" s="24"/>
      <c r="CF72" s="24"/>
      <c r="CG72" s="24"/>
      <c r="CH72" s="24"/>
      <c r="CI72" s="24"/>
      <c r="CJ72" s="24"/>
      <c r="CK72" s="32"/>
      <c r="CM72" s="47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50">
        <v>0</v>
      </c>
      <c r="DD72" s="14">
        <f t="shared" ref="DC72:DM72" si="124">$C$20/($C$21-$C$22*DC72)</f>
        <v>0.47951790558030016</v>
      </c>
      <c r="DE72" s="14">
        <f t="shared" si="124"/>
        <v>0.62269991964003457</v>
      </c>
      <c r="DF72" s="14">
        <f t="shared" si="124"/>
        <v>0.68365413138804965</v>
      </c>
      <c r="DG72" s="14">
        <f t="shared" si="124"/>
        <v>0.71338189544565556</v>
      </c>
      <c r="DH72" s="14">
        <f t="shared" si="124"/>
        <v>0.7288385559423749</v>
      </c>
      <c r="DI72" s="14">
        <f t="shared" si="124"/>
        <v>0.73714277157833852</v>
      </c>
      <c r="DJ72" s="14">
        <f t="shared" si="124"/>
        <v>0.74168290376483481</v>
      </c>
      <c r="DK72" s="14">
        <f t="shared" si="124"/>
        <v>0.74418883943825731</v>
      </c>
      <c r="DL72" s="14">
        <f t="shared" si="124"/>
        <v>0.74557926227188609</v>
      </c>
      <c r="DM72" s="14">
        <f t="shared" si="124"/>
        <v>0.74635298434150033</v>
      </c>
      <c r="DN72" s="12"/>
      <c r="DO72" s="12"/>
      <c r="DP72" s="12"/>
      <c r="DQ72" s="12"/>
      <c r="DR72" s="12"/>
      <c r="DS72" s="24"/>
      <c r="DT72" s="24"/>
      <c r="DU72" s="24"/>
      <c r="DV72" s="24"/>
      <c r="DW72" s="24"/>
      <c r="DX72" s="24"/>
      <c r="DY72" s="24"/>
      <c r="DZ72" s="24"/>
      <c r="EA72" s="24"/>
      <c r="EB72" s="32"/>
      <c r="ED72" s="47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4">
        <f t="shared" si="102"/>
        <v>7.5204534814008059E-2</v>
      </c>
      <c r="EU72" s="14">
        <f t="shared" si="103"/>
        <v>0.18695584391856446</v>
      </c>
      <c r="EV72" s="14">
        <f t="shared" si="104"/>
        <v>0.39655494795874063</v>
      </c>
      <c r="EW72" s="14">
        <f t="shared" si="105"/>
        <v>0.65627983670679324</v>
      </c>
      <c r="EX72" s="14">
        <f t="shared" si="106"/>
        <v>0.93646065709432735</v>
      </c>
      <c r="EY72" s="14">
        <f t="shared" si="107"/>
        <v>1.2146935936664447</v>
      </c>
      <c r="EZ72" s="14">
        <f t="shared" si="108"/>
        <v>1.474620776095328</v>
      </c>
      <c r="FA72" s="14">
        <f t="shared" si="109"/>
        <v>1.7050608441492405</v>
      </c>
      <c r="FB72" s="14">
        <f t="shared" si="110"/>
        <v>1.8988840633151547</v>
      </c>
      <c r="FC72" s="14">
        <f t="shared" si="111"/>
        <v>2.0517966222545607</v>
      </c>
      <c r="FD72" s="14">
        <f t="shared" si="112"/>
        <v>2.1611999534467046</v>
      </c>
      <c r="FE72" s="12"/>
      <c r="FF72" s="12"/>
      <c r="FG72" s="12"/>
      <c r="FH72" s="12"/>
      <c r="FI72" s="12"/>
      <c r="FJ72" s="24"/>
      <c r="FK72" s="24"/>
      <c r="FL72" s="24"/>
      <c r="FM72" s="24"/>
      <c r="FN72" s="24"/>
      <c r="FO72" s="24"/>
      <c r="FP72" s="24"/>
      <c r="FQ72" s="24"/>
      <c r="FR72" s="24"/>
      <c r="FS72" s="32"/>
    </row>
    <row r="73" spans="5:175" x14ac:dyDescent="0.25">
      <c r="E73" s="46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51">
        <f t="shared" si="89"/>
        <v>5.6601428682061188E-2</v>
      </c>
      <c r="V73" s="51">
        <f t="shared" si="89"/>
        <v>1.5091474265899856</v>
      </c>
      <c r="W73" s="51">
        <f t="shared" si="89"/>
        <v>2.8075783307181967</v>
      </c>
      <c r="X73" s="51">
        <f t="shared" si="89"/>
        <v>3.9162211067836163</v>
      </c>
      <c r="Y73" s="51">
        <f t="shared" si="89"/>
        <v>4.8007679008095279</v>
      </c>
      <c r="Z73" s="51">
        <f t="shared" si="89"/>
        <v>5.4242733183738094</v>
      </c>
      <c r="AA73" s="51">
        <f t="shared" si="89"/>
        <v>5.7427949551742792</v>
      </c>
      <c r="AB73" s="51">
        <f t="shared" si="89"/>
        <v>5.7003825294580563</v>
      </c>
      <c r="AC73" s="51">
        <f t="shared" si="89"/>
        <v>5.2230608246340093</v>
      </c>
      <c r="AD73" s="51">
        <f t="shared" si="89"/>
        <v>4.2113656598754599</v>
      </c>
      <c r="AE73" s="51">
        <f t="shared" si="89"/>
        <v>2.5308730677286966</v>
      </c>
      <c r="AF73" s="12"/>
      <c r="AG73" s="12"/>
      <c r="AH73" s="12"/>
      <c r="AI73" s="12"/>
      <c r="AJ73" s="12"/>
      <c r="AK73" s="24"/>
      <c r="AL73" s="24"/>
      <c r="AM73" s="24"/>
      <c r="AN73" s="24"/>
      <c r="AO73" s="24"/>
      <c r="AP73" s="24"/>
      <c r="AQ73" s="24"/>
      <c r="AR73" s="24"/>
      <c r="AS73" s="24"/>
      <c r="AT73" s="32"/>
      <c r="AV73" s="47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26">
        <f t="shared" si="90"/>
        <v>-474513.5492417654</v>
      </c>
      <c r="BM73" s="26">
        <f t="shared" si="91"/>
        <v>-1137814.0862339817</v>
      </c>
      <c r="BN73" s="26">
        <f t="shared" si="92"/>
        <v>-1727126.8251476656</v>
      </c>
      <c r="BO73" s="26">
        <f t="shared" si="93"/>
        <v>-2245774.5002904497</v>
      </c>
      <c r="BP73" s="26">
        <f t="shared" si="94"/>
        <v>-2698066.0458717616</v>
      </c>
      <c r="BQ73" s="26">
        <f t="shared" si="95"/>
        <v>-3088838.741666453</v>
      </c>
      <c r="BR73" s="26">
        <f t="shared" si="96"/>
        <v>-3423145.5748230601</v>
      </c>
      <c r="BS73" s="26">
        <f t="shared" si="97"/>
        <v>-3705960.6702799378</v>
      </c>
      <c r="BT73" s="26">
        <f t="shared" si="98"/>
        <v>-3941884.857332509</v>
      </c>
      <c r="BU73" s="26">
        <f t="shared" si="99"/>
        <v>-4134832.8530150475</v>
      </c>
      <c r="BV73" s="26">
        <f t="shared" si="100"/>
        <v>-4287681.9407587629</v>
      </c>
      <c r="BW73" s="12"/>
      <c r="BX73" s="12"/>
      <c r="BY73" s="12"/>
      <c r="BZ73" s="12"/>
      <c r="CA73" s="12"/>
      <c r="CB73" s="24"/>
      <c r="CC73" s="24"/>
      <c r="CD73" s="24"/>
      <c r="CE73" s="24"/>
      <c r="CF73" s="24"/>
      <c r="CG73" s="24"/>
      <c r="CH73" s="24"/>
      <c r="CI73" s="24"/>
      <c r="CJ73" s="24"/>
      <c r="CK73" s="32"/>
      <c r="CM73" s="47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50">
        <v>0</v>
      </c>
      <c r="DD73" s="14">
        <f t="shared" ref="DC73:DM73" si="125">$C$20/($C$21-$C$22*DC73)</f>
        <v>0.47951790558030016</v>
      </c>
      <c r="DE73" s="14">
        <f t="shared" si="125"/>
        <v>0.62269991964003457</v>
      </c>
      <c r="DF73" s="14">
        <f t="shared" si="125"/>
        <v>0.68365413138804965</v>
      </c>
      <c r="DG73" s="14">
        <f t="shared" si="125"/>
        <v>0.71338189544565556</v>
      </c>
      <c r="DH73" s="14">
        <f t="shared" si="125"/>
        <v>0.7288385559423749</v>
      </c>
      <c r="DI73" s="14">
        <f t="shared" si="125"/>
        <v>0.73714277157833852</v>
      </c>
      <c r="DJ73" s="14">
        <f t="shared" si="125"/>
        <v>0.74168290376483481</v>
      </c>
      <c r="DK73" s="14">
        <f t="shared" si="125"/>
        <v>0.74418883943825731</v>
      </c>
      <c r="DL73" s="14">
        <f t="shared" si="125"/>
        <v>0.74557926227188609</v>
      </c>
      <c r="DM73" s="14">
        <f t="shared" si="125"/>
        <v>0.74635298434150033</v>
      </c>
      <c r="DN73" s="12"/>
      <c r="DO73" s="12"/>
      <c r="DP73" s="12"/>
      <c r="DQ73" s="12"/>
      <c r="DR73" s="12"/>
      <c r="DS73" s="24"/>
      <c r="DT73" s="24"/>
      <c r="DU73" s="24"/>
      <c r="DV73" s="24"/>
      <c r="DW73" s="24"/>
      <c r="DX73" s="24"/>
      <c r="DY73" s="24"/>
      <c r="DZ73" s="24"/>
      <c r="EA73" s="24"/>
      <c r="EB73" s="32"/>
      <c r="ED73" s="47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4">
        <f t="shared" si="102"/>
        <v>5.6601428682061188E-2</v>
      </c>
      <c r="EU73" s="14">
        <f t="shared" si="103"/>
        <v>0.16286334569136074</v>
      </c>
      <c r="EV73" s="14">
        <f t="shared" si="104"/>
        <v>0.36894776223143178</v>
      </c>
      <c r="EW73" s="14">
        <f t="shared" si="105"/>
        <v>0.63415629756004799</v>
      </c>
      <c r="EX73" s="14">
        <f t="shared" si="106"/>
        <v>0.93118951953272411</v>
      </c>
      <c r="EY73" s="14">
        <f t="shared" si="107"/>
        <v>1.2387029361714319</v>
      </c>
      <c r="EZ73" s="14">
        <f t="shared" si="108"/>
        <v>1.5407991783528279</v>
      </c>
      <c r="FA73" s="14">
        <f t="shared" si="109"/>
        <v>1.8265276105031518</v>
      </c>
      <c r="FB73" s="14">
        <f t="shared" si="110"/>
        <v>2.0890095017611596</v>
      </c>
      <c r="FC73" s="14">
        <f t="shared" si="111"/>
        <v>2.3243991851345127</v>
      </c>
      <c r="FD73" s="14">
        <f t="shared" si="112"/>
        <v>2.5308730677286966</v>
      </c>
      <c r="FE73" s="12"/>
      <c r="FF73" s="12"/>
      <c r="FG73" s="12"/>
      <c r="FH73" s="12"/>
      <c r="FI73" s="12"/>
      <c r="FJ73" s="24"/>
      <c r="FK73" s="24"/>
      <c r="FL73" s="24"/>
      <c r="FM73" s="24"/>
      <c r="FN73" s="24"/>
      <c r="FO73" s="24"/>
      <c r="FP73" s="24"/>
      <c r="FQ73" s="24"/>
      <c r="FR73" s="24"/>
      <c r="FS73" s="32"/>
    </row>
    <row r="74" spans="5:175" x14ac:dyDescent="0.25">
      <c r="E74" s="46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51">
        <f t="shared" ref="U74:AR84" si="126">DC74*V74+ET74</f>
        <v>4.2635585776337852E-2</v>
      </c>
      <c r="V74" s="51">
        <f t="shared" si="126"/>
        <v>2.2365529052317705</v>
      </c>
      <c r="W74" s="51">
        <f t="shared" si="126"/>
        <v>4.3569701629489854</v>
      </c>
      <c r="X74" s="51">
        <f t="shared" si="126"/>
        <v>6.4239894846105638</v>
      </c>
      <c r="Y74" s="51">
        <f t="shared" si="126"/>
        <v>8.4667556046741375</v>
      </c>
      <c r="Z74" s="51">
        <f t="shared" si="126"/>
        <v>10.524623031823264</v>
      </c>
      <c r="AA74" s="51">
        <f t="shared" si="126"/>
        <v>12.648951472020977</v>
      </c>
      <c r="AB74" s="51">
        <f t="shared" si="126"/>
        <v>14.905722631554964</v>
      </c>
      <c r="AC74" s="51">
        <f t="shared" si="126"/>
        <v>17.379230226935</v>
      </c>
      <c r="AD74" s="51">
        <f t="shared" si="126"/>
        <v>20.177176194446041</v>
      </c>
      <c r="AE74" s="51">
        <f t="shared" si="126"/>
        <v>23.437616083178444</v>
      </c>
      <c r="AF74" s="51">
        <f t="shared" si="126"/>
        <v>27.338344200297549</v>
      </c>
      <c r="AG74" s="51">
        <f t="shared" si="126"/>
        <v>31.332982935351879</v>
      </c>
      <c r="AH74" s="14">
        <f t="shared" si="126"/>
        <v>35.437280163123987</v>
      </c>
      <c r="AI74" s="14">
        <f t="shared" si="126"/>
        <v>39.666203409086066</v>
      </c>
      <c r="AJ74" s="14">
        <f t="shared" si="126"/>
        <v>44.034578143715521</v>
      </c>
      <c r="AK74" s="14">
        <f t="shared" si="126"/>
        <v>48.557707511280881</v>
      </c>
      <c r="AL74" s="14">
        <f t="shared" si="126"/>
        <v>53.252011712778788</v>
      </c>
      <c r="AM74" s="14">
        <f t="shared" si="126"/>
        <v>58.135726361908638</v>
      </c>
      <c r="AN74" s="14">
        <f t="shared" si="126"/>
        <v>63.229702801519082</v>
      </c>
      <c r="AO74" s="14">
        <f t="shared" si="126"/>
        <v>68.558359842473862</v>
      </c>
      <c r="AP74" s="14">
        <f t="shared" si="126"/>
        <v>74.150846095544694</v>
      </c>
      <c r="AQ74" s="14">
        <f t="shared" si="126"/>
        <v>80.042485658861636</v>
      </c>
      <c r="AR74" s="14">
        <f t="shared" si="126"/>
        <v>86.27659831369553</v>
      </c>
      <c r="AS74" s="14">
        <f>EA74*AT74+FR74</f>
        <v>92.906809814780985</v>
      </c>
      <c r="AT74" s="33">
        <v>100</v>
      </c>
      <c r="AV74" s="47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26">
        <f t="shared" si="90"/>
        <v>-357432.02250906627</v>
      </c>
      <c r="BM74" s="26">
        <f t="shared" si="91"/>
        <v>-1063547.2469023333</v>
      </c>
      <c r="BN74" s="26">
        <f t="shared" si="92"/>
        <v>-1710930.3963035929</v>
      </c>
      <c r="BO74" s="26">
        <f t="shared" si="93"/>
        <v>-2303624.3392289351</v>
      </c>
      <c r="BP74" s="26">
        <f t="shared" si="94"/>
        <v>-2846945.9552732762</v>
      </c>
      <c r="BQ74" s="26">
        <f t="shared" si="95"/>
        <v>-3347192.7691334258</v>
      </c>
      <c r="BR74" s="26">
        <f t="shared" si="96"/>
        <v>-3811483.1827896251</v>
      </c>
      <c r="BS74" s="26">
        <f t="shared" si="97"/>
        <v>-4247642.794027485</v>
      </c>
      <c r="BT74" s="26">
        <f t="shared" si="98"/>
        <v>-4664132.9885673933</v>
      </c>
      <c r="BU74" s="26">
        <f t="shared" si="99"/>
        <v>-5070020.2853867589</v>
      </c>
      <c r="BV74" s="26">
        <f t="shared" si="100"/>
        <v>-5474987.4371706042</v>
      </c>
      <c r="BW74" s="26">
        <f t="shared" ref="BW74:BW84" si="127">-($C$15*$C$16*AF32)/($C$13)</f>
        <v>-9011013.4811665751</v>
      </c>
      <c r="BX74" s="26">
        <f t="shared" ref="BX74:BX84" si="128">-($C$15*$C$16*AG32)/($C$13)</f>
        <v>-10319545.858933106</v>
      </c>
      <c r="BY74" s="26">
        <f t="shared" ref="BY74:BY84" si="129">-($C$15*$C$16*AH32)/($C$13)</f>
        <v>-11668874.160496367</v>
      </c>
      <c r="BZ74" s="26">
        <f t="shared" ref="BZ74:BZ84" si="130">-($C$15*$C$16*AI32)/($C$13)</f>
        <v>-13061572.590305474</v>
      </c>
      <c r="CA74" s="26">
        <f t="shared" ref="CA74:CA84" si="131">-($C$15*$C$16*AJ32)/($C$13)</f>
        <v>-14500241.201712465</v>
      </c>
      <c r="CB74" s="26">
        <f t="shared" ref="CB74:CB84" si="132">-($C$15*$C$16*AK32)/($C$13)</f>
        <v>-15987565.081115216</v>
      </c>
      <c r="CC74" s="26">
        <f t="shared" ref="CC74:CC84" si="133">-($C$15*$C$16*AL32)/($C$13)</f>
        <v>-17526375.862922069</v>
      </c>
      <c r="CD74" s="26">
        <f t="shared" ref="CD74:CD84" si="134">-($C$15*$C$16*AM32)/($C$13)</f>
        <v>-19119718.749474645</v>
      </c>
      <c r="CE74" s="26">
        <f t="shared" ref="CE74:CE84" si="135">-($C$15*$C$16*AN32)/($C$13)</f>
        <v>-20770928.518693414</v>
      </c>
      <c r="CF74" s="26">
        <f t="shared" ref="CF74:CF84" si="136">-($C$15*$C$16*AO32)/($C$13)</f>
        <v>-22483718.504395869</v>
      </c>
      <c r="CG74" s="26">
        <f t="shared" ref="CG74:CG84" si="137">-($C$15*$C$16*AP32)/($C$13)</f>
        <v>-24262287.258942634</v>
      </c>
      <c r="CH74" s="26">
        <f t="shared" ref="CH74:CH84" si="138">-($C$15*$C$16*AQ32)/($C$13)</f>
        <v>-26111448.597068019</v>
      </c>
      <c r="CI74" s="26">
        <f t="shared" ref="CI74:CI84" si="139">-($C$15*$C$16*AR32)/($C$13)</f>
        <v>-28036792.030958027</v>
      </c>
      <c r="CJ74" s="26">
        <f t="shared" ref="CJ74:CK84" si="140">-($C$15*$C$16*AS32)/($C$13)</f>
        <v>-30044882.316375196</v>
      </c>
      <c r="CK74" s="26">
        <f t="shared" si="140"/>
        <v>-34342000</v>
      </c>
      <c r="CM74" s="47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50">
        <v>0</v>
      </c>
      <c r="DD74" s="14">
        <f t="shared" ref="DC74:DM74" si="141">$C$20/($C$21-$C$22*DC74)</f>
        <v>0.47951790558030016</v>
      </c>
      <c r="DE74" s="14">
        <f t="shared" si="141"/>
        <v>0.62269991964003457</v>
      </c>
      <c r="DF74" s="14">
        <f t="shared" si="141"/>
        <v>0.68365413138804965</v>
      </c>
      <c r="DG74" s="14">
        <f t="shared" si="141"/>
        <v>0.71338189544565556</v>
      </c>
      <c r="DH74" s="14">
        <f t="shared" si="141"/>
        <v>0.7288385559423749</v>
      </c>
      <c r="DI74" s="14">
        <f t="shared" si="141"/>
        <v>0.73714277157833852</v>
      </c>
      <c r="DJ74" s="14">
        <f t="shared" si="141"/>
        <v>0.74168290376483481</v>
      </c>
      <c r="DK74" s="14">
        <f t="shared" si="141"/>
        <v>0.74418883943825731</v>
      </c>
      <c r="DL74" s="14">
        <f t="shared" si="141"/>
        <v>0.74557926227188609</v>
      </c>
      <c r="DM74" s="14">
        <f t="shared" si="141"/>
        <v>0.74635298434150033</v>
      </c>
      <c r="DN74" s="14">
        <f t="shared" ref="DN74:EA74" si="142">$C$20/($C$21-$C$22*DM74)</f>
        <v>0.74678422966310576</v>
      </c>
      <c r="DO74" s="14">
        <f t="shared" si="142"/>
        <v>0.7470248069144555</v>
      </c>
      <c r="DP74" s="14">
        <f t="shared" si="142"/>
        <v>0.74715908423415356</v>
      </c>
      <c r="DQ74" s="14">
        <f t="shared" si="142"/>
        <v>0.7472340516255952</v>
      </c>
      <c r="DR74" s="14">
        <f t="shared" si="142"/>
        <v>0.74727591266789473</v>
      </c>
      <c r="DS74" s="14">
        <f t="shared" si="142"/>
        <v>0.74729928949639013</v>
      </c>
      <c r="DT74" s="14">
        <f t="shared" si="142"/>
        <v>0.74731234465992313</v>
      </c>
      <c r="DU74" s="14">
        <f t="shared" si="142"/>
        <v>0.74731963572317806</v>
      </c>
      <c r="DV74" s="14">
        <f t="shared" si="142"/>
        <v>0.74732370770676959</v>
      </c>
      <c r="DW74" s="14">
        <f t="shared" si="142"/>
        <v>0.74732598188689847</v>
      </c>
      <c r="DX74" s="14">
        <f t="shared" si="142"/>
        <v>0.74732725200984262</v>
      </c>
      <c r="DY74" s="14">
        <f t="shared" si="142"/>
        <v>0.74732796137166757</v>
      </c>
      <c r="DZ74" s="14">
        <f t="shared" si="142"/>
        <v>0.74732835754980542</v>
      </c>
      <c r="EA74" s="14">
        <f t="shared" si="142"/>
        <v>0.74732857881523174</v>
      </c>
      <c r="EB74" s="14">
        <f t="shared" ref="EB74" si="143">$C$20/($C$21-$C$22*EA74)</f>
        <v>0.74732870239199378</v>
      </c>
      <c r="ED74" s="47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4">
        <f t="shared" si="102"/>
        <v>4.2635585776337852E-2</v>
      </c>
      <c r="EU74" s="14">
        <f t="shared" si="103"/>
        <v>0.14730769801861429</v>
      </c>
      <c r="EV74" s="14">
        <f t="shared" si="104"/>
        <v>0.35675242711355948</v>
      </c>
      <c r="EW74" s="14">
        <f t="shared" si="105"/>
        <v>0.6356570360221645</v>
      </c>
      <c r="EX74" s="14">
        <f t="shared" si="106"/>
        <v>0.95868007738105609</v>
      </c>
      <c r="EY74" s="14">
        <f t="shared" si="107"/>
        <v>1.3055795067703184</v>
      </c>
      <c r="EZ74" s="14">
        <f t="shared" si="108"/>
        <v>1.6613057790185854</v>
      </c>
      <c r="FA74" s="14">
        <f t="shared" si="109"/>
        <v>2.0158446916442236</v>
      </c>
      <c r="FB74" s="14">
        <f t="shared" si="110"/>
        <v>2.3636008916489688</v>
      </c>
      <c r="FC74" s="14">
        <f t="shared" si="111"/>
        <v>2.7025756857381626</v>
      </c>
      <c r="FD74" s="14">
        <f t="shared" si="112"/>
        <v>3.0335613023312211</v>
      </c>
      <c r="FE74" s="14">
        <f t="shared" ref="FE74:FE84" si="144">(FD74*$C$22-BW74)/($C$21-$C$22*DM74)</f>
        <v>3.9393666758735573</v>
      </c>
      <c r="FF74" s="14">
        <f t="shared" ref="FF74:FF84" si="145">(FE74*$C$22-BX74)/($C$21-$C$22*DN74)</f>
        <v>4.8604555639207216</v>
      </c>
      <c r="FG74" s="14">
        <f t="shared" ref="FG74:FG84" si="146">(FF74*$C$22-BY74)/($C$21-$C$22*DO74)</f>
        <v>5.8003159489455847</v>
      </c>
      <c r="FH74" s="14">
        <f t="shared" ref="FH74:FH84" si="147">(FG74*$C$22-BZ74)/($C$21-$C$22*DP74)</f>
        <v>6.7620671711336406</v>
      </c>
      <c r="FI74" s="14">
        <f t="shared" ref="FI74:FI84" si="148">(FH74*$C$22-CA74)/($C$21-$C$22*DQ74)</f>
        <v>7.7485729461624135</v>
      </c>
      <c r="FJ74" s="14">
        <f t="shared" ref="FJ74:FJ84" si="149">(FI74*$C$22-CB74)/($C$21-$C$22*DR74)</f>
        <v>8.7625169940678482</v>
      </c>
      <c r="FK74" s="14">
        <f t="shared" ref="FK74:FK84" si="150">(FJ74*$C$22-CC74)/($C$21-$C$22*DS74)</f>
        <v>9.8064657367531396</v>
      </c>
      <c r="FL74" s="14">
        <f t="shared" ref="FL74:FL84" si="151">(FK74*$C$22-CD74)/($C$21-$C$22*DT74)</f>
        <v>10.882927897392584</v>
      </c>
      <c r="FM74" s="14">
        <f t="shared" ref="FM74:FM84" si="152">(FL74*$C$22-CE74)/($C$21-$C$22*DU74)</f>
        <v>11.994415129746615</v>
      </c>
      <c r="FN74" s="14">
        <f t="shared" ref="FN74:FN84" si="153">(FM74*$C$22-CF74)/($C$21-$C$22*DV74)</f>
        <v>13.14350597637663</v>
      </c>
      <c r="FO74" s="14">
        <f t="shared" ref="FO74:FO84" si="154">(FN74*$C$22-CG74)/($C$21-$C$22*DW74)</f>
        <v>14.332915244070396</v>
      </c>
      <c r="FP74" s="14">
        <f t="shared" ref="FP74:FP84" si="155">(FO74*$C$22-CH74)/($C$21-$C$22*DX74)</f>
        <v>15.565571327005303</v>
      </c>
      <c r="FQ74" s="14">
        <f t="shared" ref="FQ74:FQ84" si="156">(FP74*$C$22-CI74)/($C$21-$C$22*DY74)</f>
        <v>16.844704729623114</v>
      </c>
      <c r="FR74" s="14">
        <f t="shared" ref="FR74:FR84" si="157">(FQ74*$C$22-CJ74)/($C$21-$C$22*DZ74)</f>
        <v>18.173951933257815</v>
      </c>
      <c r="FS74" s="14">
        <f t="shared" ref="FS74:FS84" si="158">(FR74*$C$22-CK74)/($C$21-$C$22*EA74)</f>
        <v>19.966185143861267</v>
      </c>
    </row>
    <row r="75" spans="5:175" x14ac:dyDescent="0.25">
      <c r="E75" s="46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51">
        <f t="shared" si="126"/>
        <v>3.2162807244655194E-2</v>
      </c>
      <c r="V75" s="51">
        <f t="shared" si="126"/>
        <v>2.3402944166143387</v>
      </c>
      <c r="W75" s="51">
        <f t="shared" si="126"/>
        <v>4.5959837647354833</v>
      </c>
      <c r="X75" s="51">
        <f t="shared" si="126"/>
        <v>6.8181608884351625</v>
      </c>
      <c r="Y75" s="51">
        <f t="shared" si="126"/>
        <v>9.0332956239871294</v>
      </c>
      <c r="Z75" s="51">
        <f t="shared" si="126"/>
        <v>11.276185237497849</v>
      </c>
      <c r="AA75" s="51">
        <f t="shared" si="126"/>
        <v>13.591150666621068</v>
      </c>
      <c r="AB75" s="51">
        <f t="shared" si="126"/>
        <v>16.033761779786399</v>
      </c>
      <c r="AC75" s="51">
        <f t="shared" si="126"/>
        <v>18.673243833110305</v>
      </c>
      <c r="AD75" s="51">
        <f t="shared" si="126"/>
        <v>21.595761434474436</v>
      </c>
      <c r="AE75" s="51">
        <f t="shared" si="126"/>
        <v>24.908835835961593</v>
      </c>
      <c r="AF75" s="51">
        <f t="shared" si="126"/>
        <v>28.747230449537319</v>
      </c>
      <c r="AG75" s="51">
        <f t="shared" si="126"/>
        <v>32.698620106704716</v>
      </c>
      <c r="AH75" s="14">
        <f t="shared" si="126"/>
        <v>36.772995798567408</v>
      </c>
      <c r="AI75" s="14">
        <f t="shared" si="126"/>
        <v>40.980425034098509</v>
      </c>
      <c r="AJ75" s="14">
        <f t="shared" si="126"/>
        <v>45.331323905595227</v>
      </c>
      <c r="AK75" s="14">
        <f t="shared" si="126"/>
        <v>49.836745973365765</v>
      </c>
      <c r="AL75" s="14">
        <f t="shared" si="126"/>
        <v>54.508700996367146</v>
      </c>
      <c r="AM75" s="14">
        <f t="shared" si="126"/>
        <v>59.360518334162748</v>
      </c>
      <c r="AN75" s="14">
        <f t="shared" si="126"/>
        <v>64.407272314845784</v>
      </c>
      <c r="AO75" s="14">
        <f t="shared" si="126"/>
        <v>69.666290141700728</v>
      </c>
      <c r="AP75" s="14">
        <f t="shared" si="126"/>
        <v>75.157767171461359</v>
      </c>
      <c r="AQ75" s="14">
        <f t="shared" si="126"/>
        <v>80.905519856088048</v>
      </c>
      <c r="AR75" s="14">
        <f t="shared" si="126"/>
        <v>86.937913569589057</v>
      </c>
      <c r="AS75" s="14">
        <f t="shared" ref="AS75:AS84" si="159">EA75*AT75+FR75</f>
        <v>93.28901128042186</v>
      </c>
      <c r="AT75" s="14">
        <v>100</v>
      </c>
      <c r="AV75" s="47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6">
        <f t="shared" si="90"/>
        <v>-269634.32151098724</v>
      </c>
      <c r="BM75" s="26">
        <f t="shared" si="91"/>
        <v>-1014521.7987728242</v>
      </c>
      <c r="BN75" s="26">
        <f t="shared" si="92"/>
        <v>-1713071.886659747</v>
      </c>
      <c r="BO75" s="26">
        <f t="shared" si="93"/>
        <v>-2369803.2126602074</v>
      </c>
      <c r="BP75" s="26">
        <f t="shared" si="94"/>
        <v>-2990639.7737954706</v>
      </c>
      <c r="BQ75" s="26">
        <f t="shared" si="95"/>
        <v>-3582722.7554992535</v>
      </c>
      <c r="BR75" s="26">
        <f t="shared" si="96"/>
        <v>-4154337.3120817291</v>
      </c>
      <c r="BS75" s="26">
        <f t="shared" si="97"/>
        <v>-4714893.2909767823</v>
      </c>
      <c r="BT75" s="26">
        <f t="shared" si="98"/>
        <v>-5274962.4940450499</v>
      </c>
      <c r="BU75" s="26">
        <f t="shared" si="99"/>
        <v>-5846378.055332629</v>
      </c>
      <c r="BV75" s="26">
        <f t="shared" si="100"/>
        <v>-6442405.1501898868</v>
      </c>
      <c r="BW75" s="26">
        <f t="shared" si="127"/>
        <v>-9418133.8057415932</v>
      </c>
      <c r="BX75" s="26">
        <f t="shared" si="128"/>
        <v>-10734956.257569462</v>
      </c>
      <c r="BY75" s="26">
        <f t="shared" si="129"/>
        <v>-12093706.971597031</v>
      </c>
      <c r="BZ75" s="26">
        <f t="shared" si="130"/>
        <v>-13496749.628628269</v>
      </c>
      <c r="CA75" s="26">
        <f t="shared" si="131"/>
        <v>-14946500.006638795</v>
      </c>
      <c r="CB75" s="26">
        <f t="shared" si="132"/>
        <v>-16445472.822145259</v>
      </c>
      <c r="CC75" s="26">
        <f t="shared" si="133"/>
        <v>-17996331.590699632</v>
      </c>
      <c r="CD75" s="26">
        <f t="shared" si="134"/>
        <v>-19601943.90191067</v>
      </c>
      <c r="CE75" s="26">
        <f t="shared" si="135"/>
        <v>-21265444.796753272</v>
      </c>
      <c r="CF75" s="26">
        <f t="shared" si="136"/>
        <v>-22990311.364781946</v>
      </c>
      <c r="CG75" s="26">
        <f t="shared" si="137"/>
        <v>-24780452.269461788</v>
      </c>
      <c r="CH75" s="26">
        <f t="shared" si="138"/>
        <v>-26640316.69290296</v>
      </c>
      <c r="CI75" s="26">
        <f t="shared" si="139"/>
        <v>-28575028.208794434</v>
      </c>
      <c r="CJ75" s="26">
        <f t="shared" si="140"/>
        <v>-30590550.398766182</v>
      </c>
      <c r="CK75" s="26">
        <f t="shared" si="140"/>
        <v>-34342000</v>
      </c>
      <c r="CM75" s="47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50">
        <v>0</v>
      </c>
      <c r="DD75" s="14">
        <f t="shared" ref="DC75:DM75" si="160">$C$20/($C$21-$C$22*DC75)</f>
        <v>0.47951790558030016</v>
      </c>
      <c r="DE75" s="14">
        <f t="shared" si="160"/>
        <v>0.62269991964003457</v>
      </c>
      <c r="DF75" s="14">
        <f t="shared" si="160"/>
        <v>0.68365413138804965</v>
      </c>
      <c r="DG75" s="14">
        <f t="shared" si="160"/>
        <v>0.71338189544565556</v>
      </c>
      <c r="DH75" s="14">
        <f t="shared" si="160"/>
        <v>0.7288385559423749</v>
      </c>
      <c r="DI75" s="14">
        <f t="shared" si="160"/>
        <v>0.73714277157833852</v>
      </c>
      <c r="DJ75" s="14">
        <f t="shared" si="160"/>
        <v>0.74168290376483481</v>
      </c>
      <c r="DK75" s="14">
        <f t="shared" si="160"/>
        <v>0.74418883943825731</v>
      </c>
      <c r="DL75" s="14">
        <f t="shared" si="160"/>
        <v>0.74557926227188609</v>
      </c>
      <c r="DM75" s="14">
        <f t="shared" si="160"/>
        <v>0.74635298434150033</v>
      </c>
      <c r="DN75" s="14">
        <f t="shared" ref="DN75:EA75" si="161">$C$20/($C$21-$C$22*DM75)</f>
        <v>0.74678422966310576</v>
      </c>
      <c r="DO75" s="14">
        <f t="shared" si="161"/>
        <v>0.7470248069144555</v>
      </c>
      <c r="DP75" s="14">
        <f t="shared" si="161"/>
        <v>0.74715908423415356</v>
      </c>
      <c r="DQ75" s="14">
        <f t="shared" si="161"/>
        <v>0.7472340516255952</v>
      </c>
      <c r="DR75" s="14">
        <f t="shared" si="161"/>
        <v>0.74727591266789473</v>
      </c>
      <c r="DS75" s="14">
        <f t="shared" si="161"/>
        <v>0.74729928949639013</v>
      </c>
      <c r="DT75" s="14">
        <f t="shared" si="161"/>
        <v>0.74731234465992313</v>
      </c>
      <c r="DU75" s="14">
        <f t="shared" si="161"/>
        <v>0.74731963572317806</v>
      </c>
      <c r="DV75" s="14">
        <f t="shared" si="161"/>
        <v>0.74732370770676959</v>
      </c>
      <c r="DW75" s="14">
        <f t="shared" si="161"/>
        <v>0.74732598188689847</v>
      </c>
      <c r="DX75" s="14">
        <f t="shared" si="161"/>
        <v>0.74732725200984262</v>
      </c>
      <c r="DY75" s="14">
        <f t="shared" si="161"/>
        <v>0.74732796137166757</v>
      </c>
      <c r="DZ75" s="14">
        <f t="shared" si="161"/>
        <v>0.74732835754980542</v>
      </c>
      <c r="EA75" s="14">
        <f t="shared" si="161"/>
        <v>0.74732857881523174</v>
      </c>
      <c r="EB75" s="14">
        <f t="shared" ref="EB75" si="162">$C$20/($C$21-$C$22*EA75)</f>
        <v>0.74732870239199378</v>
      </c>
      <c r="ED75" s="47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14">
        <f t="shared" si="102"/>
        <v>3.2162807244655194E-2</v>
      </c>
      <c r="EU75" s="14">
        <f t="shared" si="103"/>
        <v>0.13643790766731695</v>
      </c>
      <c r="EV75" s="14">
        <f t="shared" si="104"/>
        <v>0.35031552741408051</v>
      </c>
      <c r="EW75" s="14">
        <f t="shared" si="105"/>
        <v>0.64251101504677188</v>
      </c>
      <c r="EX75" s="14">
        <f t="shared" si="106"/>
        <v>0.98906922586459411</v>
      </c>
      <c r="EY75" s="14">
        <f t="shared" si="107"/>
        <v>1.3704306120425025</v>
      </c>
      <c r="EZ75" s="14">
        <f t="shared" si="108"/>
        <v>1.7719790694424884</v>
      </c>
      <c r="FA75" s="14">
        <f t="shared" si="109"/>
        <v>2.1841360709363555</v>
      </c>
      <c r="FB75" s="14">
        <f t="shared" si="110"/>
        <v>2.6019191944033024</v>
      </c>
      <c r="FC75" s="14">
        <f t="shared" si="111"/>
        <v>3.0242499878466735</v>
      </c>
      <c r="FD75" s="14">
        <f t="shared" si="112"/>
        <v>3.4532545983965668</v>
      </c>
      <c r="FE75" s="14">
        <f t="shared" si="144"/>
        <v>4.3284166221052995</v>
      </c>
      <c r="FF75" s="14">
        <f t="shared" si="145"/>
        <v>5.228280020613818</v>
      </c>
      <c r="FG75" s="14">
        <f t="shared" si="146"/>
        <v>6.1540989585639885</v>
      </c>
      <c r="FH75" s="14">
        <f t="shared" si="147"/>
        <v>7.1073162065683828</v>
      </c>
      <c r="FI75" s="14">
        <f t="shared" si="148"/>
        <v>8.0895240739502956</v>
      </c>
      <c r="FJ75" s="14">
        <f t="shared" si="149"/>
        <v>9.1024324474094236</v>
      </c>
      <c r="FK75" s="14">
        <f t="shared" si="150"/>
        <v>10.147852859835629</v>
      </c>
      <c r="FL75" s="14">
        <f t="shared" si="151"/>
        <v>11.227699049908667</v>
      </c>
      <c r="FM75" s="14">
        <f t="shared" si="152"/>
        <v>12.344002063974434</v>
      </c>
      <c r="FN75" s="14">
        <f t="shared" si="153"/>
        <v>13.498937993861453</v>
      </c>
      <c r="FO75" s="14">
        <f t="shared" si="154"/>
        <v>14.694867344983326</v>
      </c>
      <c r="FP75" s="14">
        <f t="shared" si="155"/>
        <v>15.934386142220836</v>
      </c>
      <c r="FQ75" s="14">
        <f t="shared" si="156"/>
        <v>17.220389991946124</v>
      </c>
      <c r="FR75" s="14">
        <f t="shared" si="157"/>
        <v>18.556153398898683</v>
      </c>
      <c r="FS75" s="14">
        <f t="shared" si="158"/>
        <v>20.251815269230971</v>
      </c>
    </row>
    <row r="76" spans="5:175" x14ac:dyDescent="0.25">
      <c r="E76" s="46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51">
        <f t="shared" si="126"/>
        <v>2.4325075332123056E-2</v>
      </c>
      <c r="V76" s="51">
        <f t="shared" si="126"/>
        <v>2.4358151076321493</v>
      </c>
      <c r="W76" s="51">
        <f t="shared" si="126"/>
        <v>4.8107383618878332</v>
      </c>
      <c r="X76" s="51">
        <f t="shared" si="126"/>
        <v>7.1670998308481932</v>
      </c>
      <c r="Y76" s="51">
        <f t="shared" si="126"/>
        <v>9.5291639965450496</v>
      </c>
      <c r="Z76" s="51">
        <f t="shared" si="126"/>
        <v>11.927970323327585</v>
      </c>
      <c r="AA76" s="51">
        <f t="shared" si="126"/>
        <v>14.402100805127462</v>
      </c>
      <c r="AB76" s="51">
        <f t="shared" si="126"/>
        <v>16.998772107309627</v>
      </c>
      <c r="AC76" s="51">
        <f t="shared" si="126"/>
        <v>19.775339913828965</v>
      </c>
      <c r="AD76" s="51">
        <f t="shared" si="126"/>
        <v>22.801324462037961</v>
      </c>
      <c r="AE76" s="51">
        <f t="shared" si="126"/>
        <v>26.161095089294921</v>
      </c>
      <c r="AF76" s="51">
        <f t="shared" si="126"/>
        <v>29.957389567196646</v>
      </c>
      <c r="AG76" s="51">
        <f t="shared" si="126"/>
        <v>33.878439605476558</v>
      </c>
      <c r="AH76" s="14">
        <f t="shared" si="126"/>
        <v>37.930435648020655</v>
      </c>
      <c r="AI76" s="14">
        <f t="shared" si="126"/>
        <v>42.120049520294145</v>
      </c>
      <c r="AJ76" s="14">
        <f t="shared" si="126"/>
        <v>46.454492019854115</v>
      </c>
      <c r="AK76" s="14">
        <f t="shared" si="126"/>
        <v>50.941598498010492</v>
      </c>
      <c r="AL76" s="14">
        <f t="shared" si="126"/>
        <v>55.58994227479792</v>
      </c>
      <c r="AM76" s="14">
        <f t="shared" si="126"/>
        <v>60.408977338570558</v>
      </c>
      <c r="AN76" s="14">
        <f t="shared" si="126"/>
        <v>65.409213169797326</v>
      </c>
      <c r="AO76" s="14">
        <f t="shared" si="126"/>
        <v>70.602425757743234</v>
      </c>
      <c r="AP76" s="14">
        <f t="shared" si="126"/>
        <v>76.001909979524484</v>
      </c>
      <c r="AQ76" s="14">
        <f t="shared" si="126"/>
        <v>81.6227794825449</v>
      </c>
      <c r="AR76" s="14">
        <f t="shared" si="126"/>
        <v>87.482321016235389</v>
      </c>
      <c r="AS76" s="14">
        <f t="shared" si="159"/>
        <v>93.600410714982672</v>
      </c>
      <c r="AT76" s="14">
        <v>100</v>
      </c>
      <c r="AV76" s="47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6">
        <f t="shared" si="90"/>
        <v>-203927.32304082706</v>
      </c>
      <c r="BM76" s="26">
        <f t="shared" si="91"/>
        <v>-983506.0720012883</v>
      </c>
      <c r="BN76" s="26">
        <f t="shared" si="92"/>
        <v>-1726722.1451267197</v>
      </c>
      <c r="BO76" s="26">
        <f t="shared" si="93"/>
        <v>-2438400.5830291668</v>
      </c>
      <c r="BP76" s="26">
        <f t="shared" si="94"/>
        <v>-3124802.0121290702</v>
      </c>
      <c r="BQ76" s="26">
        <f t="shared" si="95"/>
        <v>-3793500.4652674356</v>
      </c>
      <c r="BR76" s="26">
        <f t="shared" si="96"/>
        <v>-4453355.3605600903</v>
      </c>
      <c r="BS76" s="26">
        <f t="shared" si="97"/>
        <v>-5114534.3696568217</v>
      </c>
      <c r="BT76" s="26">
        <f t="shared" si="98"/>
        <v>-5788591.9316147324</v>
      </c>
      <c r="BU76" s="26">
        <f t="shared" si="99"/>
        <v>-6488610.8089802489</v>
      </c>
      <c r="BV76" s="26">
        <f t="shared" si="100"/>
        <v>-7229417.3959737122</v>
      </c>
      <c r="BW76" s="26">
        <f t="shared" si="127"/>
        <v>-9786449.3724463545</v>
      </c>
      <c r="BX76" s="26">
        <f t="shared" si="128"/>
        <v>-11108130.792170759</v>
      </c>
      <c r="BY76" s="26">
        <f t="shared" si="129"/>
        <v>-12472846.53473109</v>
      </c>
      <c r="BZ76" s="26">
        <f t="shared" si="130"/>
        <v>-13882656.32456775</v>
      </c>
      <c r="CA76" s="26">
        <f t="shared" si="131"/>
        <v>-15339692.455500778</v>
      </c>
      <c r="CB76" s="26">
        <f t="shared" si="132"/>
        <v>-16846189.815689925</v>
      </c>
      <c r="CC76" s="26">
        <f t="shared" si="133"/>
        <v>-18404519.00233056</v>
      </c>
      <c r="CD76" s="26">
        <f t="shared" si="134"/>
        <v>-20017223.912446294</v>
      </c>
      <c r="CE76" s="26">
        <f t="shared" si="135"/>
        <v>-21687065.42476077</v>
      </c>
      <c r="CF76" s="26">
        <f t="shared" si="136"/>
        <v>-23417073.085706141</v>
      </c>
      <c r="CG76" s="26">
        <f t="shared" si="137"/>
        <v>-25210607.094586845</v>
      </c>
      <c r="CH76" s="26">
        <f t="shared" si="138"/>
        <v>-27071433.366601877</v>
      </c>
      <c r="CI76" s="26">
        <f t="shared" si="139"/>
        <v>-29003815.059867144</v>
      </c>
      <c r="CJ76" s="26">
        <f t="shared" si="140"/>
        <v>-31012624.710933827</v>
      </c>
      <c r="CK76" s="26">
        <f t="shared" si="140"/>
        <v>-34342000</v>
      </c>
      <c r="CM76" s="47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50">
        <v>0</v>
      </c>
      <c r="DD76" s="14">
        <f t="shared" ref="DC76:DM76" si="163">$C$20/($C$21-$C$22*DC76)</f>
        <v>0.47951790558030016</v>
      </c>
      <c r="DE76" s="14">
        <f t="shared" si="163"/>
        <v>0.62269991964003457</v>
      </c>
      <c r="DF76" s="14">
        <f t="shared" si="163"/>
        <v>0.68365413138804965</v>
      </c>
      <c r="DG76" s="14">
        <f t="shared" si="163"/>
        <v>0.71338189544565556</v>
      </c>
      <c r="DH76" s="14">
        <f t="shared" si="163"/>
        <v>0.7288385559423749</v>
      </c>
      <c r="DI76" s="14">
        <f t="shared" si="163"/>
        <v>0.73714277157833852</v>
      </c>
      <c r="DJ76" s="14">
        <f t="shared" si="163"/>
        <v>0.74168290376483481</v>
      </c>
      <c r="DK76" s="14">
        <f t="shared" si="163"/>
        <v>0.74418883943825731</v>
      </c>
      <c r="DL76" s="14">
        <f t="shared" si="163"/>
        <v>0.74557926227188609</v>
      </c>
      <c r="DM76" s="14">
        <f t="shared" si="163"/>
        <v>0.74635298434150033</v>
      </c>
      <c r="DN76" s="14">
        <f t="shared" ref="DN76:EA76" si="164">$C$20/($C$21-$C$22*DM76)</f>
        <v>0.74678422966310576</v>
      </c>
      <c r="DO76" s="14">
        <f t="shared" si="164"/>
        <v>0.7470248069144555</v>
      </c>
      <c r="DP76" s="14">
        <f t="shared" si="164"/>
        <v>0.74715908423415356</v>
      </c>
      <c r="DQ76" s="14">
        <f t="shared" si="164"/>
        <v>0.7472340516255952</v>
      </c>
      <c r="DR76" s="14">
        <f t="shared" si="164"/>
        <v>0.74727591266789473</v>
      </c>
      <c r="DS76" s="14">
        <f t="shared" si="164"/>
        <v>0.74729928949639013</v>
      </c>
      <c r="DT76" s="14">
        <f t="shared" si="164"/>
        <v>0.74731234465992313</v>
      </c>
      <c r="DU76" s="14">
        <f t="shared" si="164"/>
        <v>0.74731963572317806</v>
      </c>
      <c r="DV76" s="14">
        <f t="shared" si="164"/>
        <v>0.74732370770676959</v>
      </c>
      <c r="DW76" s="14">
        <f t="shared" si="164"/>
        <v>0.74732598188689847</v>
      </c>
      <c r="DX76" s="14">
        <f t="shared" si="164"/>
        <v>0.74732725200984262</v>
      </c>
      <c r="DY76" s="14">
        <f t="shared" si="164"/>
        <v>0.74732796137166757</v>
      </c>
      <c r="DZ76" s="14">
        <f t="shared" si="164"/>
        <v>0.74732835754980542</v>
      </c>
      <c r="EA76" s="14">
        <f t="shared" si="164"/>
        <v>0.74732857881523174</v>
      </c>
      <c r="EB76" s="14">
        <f t="shared" ref="EB76" si="165">$C$20/($C$21-$C$22*EA76)</f>
        <v>0.74732870239199378</v>
      </c>
      <c r="ED76" s="47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14">
        <f t="shared" si="102"/>
        <v>2.4325075332123056E-2</v>
      </c>
      <c r="EU76" s="14">
        <f t="shared" si="103"/>
        <v>0.12897992404489134</v>
      </c>
      <c r="EV76" s="14">
        <f t="shared" si="104"/>
        <v>0.34778587316655757</v>
      </c>
      <c r="EW76" s="14">
        <f t="shared" si="105"/>
        <v>0.65244749593591111</v>
      </c>
      <c r="EX76" s="14">
        <f t="shared" si="106"/>
        <v>1.0199659184700878</v>
      </c>
      <c r="EY76" s="14">
        <f t="shared" si="107"/>
        <v>1.4311639699819692</v>
      </c>
      <c r="EZ76" s="14">
        <f t="shared" si="108"/>
        <v>1.8715788205166903</v>
      </c>
      <c r="FA76" s="14">
        <f t="shared" si="109"/>
        <v>2.3317405770843198</v>
      </c>
      <c r="FB76" s="14">
        <f t="shared" si="110"/>
        <v>2.8068487247697878</v>
      </c>
      <c r="FC76" s="14">
        <f t="shared" si="111"/>
        <v>3.2961544851367917</v>
      </c>
      <c r="FD76" s="14">
        <f t="shared" si="112"/>
        <v>3.8023079827367785</v>
      </c>
      <c r="FE76" s="14">
        <f t="shared" si="144"/>
        <v>4.6575051442327826</v>
      </c>
      <c r="FF76" s="14">
        <f t="shared" si="145"/>
        <v>5.5434632393327519</v>
      </c>
      <c r="FG76" s="14">
        <f t="shared" si="146"/>
        <v>6.4600580205404823</v>
      </c>
      <c r="FH76" s="14">
        <f t="shared" si="147"/>
        <v>7.407671232089676</v>
      </c>
      <c r="FI76" s="14">
        <f t="shared" si="148"/>
        <v>8.3870625094918694</v>
      </c>
      <c r="FJ76" s="14">
        <f t="shared" si="149"/>
        <v>9.3992741329086673</v>
      </c>
      <c r="FK76" s="14">
        <f t="shared" si="150"/>
        <v>10.445567781402596</v>
      </c>
      <c r="FL76" s="14">
        <f t="shared" si="151"/>
        <v>11.527387979577925</v>
      </c>
      <c r="FM76" s="14">
        <f t="shared" si="152"/>
        <v>12.646346579428718</v>
      </c>
      <c r="FN76" s="14">
        <f t="shared" si="153"/>
        <v>13.804223757015428</v>
      </c>
      <c r="FO76" s="14">
        <f t="shared" si="154"/>
        <v>15.002982487428836</v>
      </c>
      <c r="FP76" s="14">
        <f t="shared" si="155"/>
        <v>16.244794861419926</v>
      </c>
      <c r="FQ76" s="14">
        <f t="shared" si="156"/>
        <v>17.532079810620171</v>
      </c>
      <c r="FR76" s="14">
        <f t="shared" si="157"/>
        <v>18.867552833459502</v>
      </c>
      <c r="FS76" s="14">
        <f t="shared" si="158"/>
        <v>20.484533004586908</v>
      </c>
    </row>
    <row r="77" spans="5:175" x14ac:dyDescent="0.25">
      <c r="E77" s="46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51">
        <f t="shared" si="126"/>
        <v>1.8480257378466345E-2</v>
      </c>
      <c r="V77" s="51">
        <f t="shared" si="126"/>
        <v>2.5214351293770578</v>
      </c>
      <c r="W77" s="51">
        <f t="shared" si="126"/>
        <v>4.9997290919191641</v>
      </c>
      <c r="X77" s="51">
        <f t="shared" si="126"/>
        <v>7.4706250626321822</v>
      </c>
      <c r="Y77" s="51">
        <f t="shared" si="126"/>
        <v>9.9565763880029774</v>
      </c>
      <c r="Z77" s="51">
        <f t="shared" si="126"/>
        <v>12.485547913788041</v>
      </c>
      <c r="AA77" s="51">
        <f t="shared" si="126"/>
        <v>15.091478770626219</v>
      </c>
      <c r="AB77" s="51">
        <f t="shared" si="126"/>
        <v>17.814928333659843</v>
      </c>
      <c r="AC77" s="51">
        <f t="shared" si="126"/>
        <v>20.703951851302442</v>
      </c>
      <c r="AD77" s="51">
        <f t="shared" si="126"/>
        <v>23.815260063726367</v>
      </c>
      <c r="AE77" s="51">
        <f t="shared" si="126"/>
        <v>27.215727943743246</v>
      </c>
      <c r="AF77" s="51">
        <f t="shared" si="126"/>
        <v>30.984331811190771</v>
      </c>
      <c r="AG77" s="51">
        <f t="shared" si="126"/>
        <v>34.88445753087538</v>
      </c>
      <c r="AH77" s="14">
        <f t="shared" si="126"/>
        <v>38.91982816480516</v>
      </c>
      <c r="AI77" s="14">
        <f t="shared" si="126"/>
        <v>43.094781387187155</v>
      </c>
      <c r="AJ77" s="14">
        <f t="shared" si="126"/>
        <v>47.414208204261513</v>
      </c>
      <c r="AK77" s="14">
        <f t="shared" si="126"/>
        <v>51.883518190657853</v>
      </c>
      <c r="AL77" s="14">
        <f t="shared" si="126"/>
        <v>56.508624973297223</v>
      </c>
      <c r="AM77" s="14">
        <f t="shared" si="126"/>
        <v>61.295946774878054</v>
      </c>
      <c r="AN77" s="14">
        <f t="shared" si="126"/>
        <v>66.252417354072264</v>
      </c>
      <c r="AO77" s="14">
        <f t="shared" si="126"/>
        <v>71.38550265783357</v>
      </c>
      <c r="AP77" s="14">
        <f t="shared" si="126"/>
        <v>76.703217892096006</v>
      </c>
      <c r="AQ77" s="14">
        <f t="shared" si="126"/>
        <v>82.214138425382046</v>
      </c>
      <c r="AR77" s="14">
        <f t="shared" si="126"/>
        <v>87.927395806060261</v>
      </c>
      <c r="AS77" s="14">
        <f t="shared" si="159"/>
        <v>93.852646959778568</v>
      </c>
      <c r="AT77" s="14">
        <v>100</v>
      </c>
      <c r="AV77" s="47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6">
        <f t="shared" si="90"/>
        <v>-154927.75931178231</v>
      </c>
      <c r="BM77" s="26">
        <f t="shared" si="91"/>
        <v>-965048.10814574023</v>
      </c>
      <c r="BN77" s="26">
        <f t="shared" si="92"/>
        <v>-1746746.8918998125</v>
      </c>
      <c r="BO77" s="26">
        <f t="shared" si="93"/>
        <v>-2505039.5332848779</v>
      </c>
      <c r="BP77" s="26">
        <f t="shared" si="94"/>
        <v>-3246346.2575026257</v>
      </c>
      <c r="BQ77" s="26">
        <f t="shared" si="95"/>
        <v>-3978410.3537195614</v>
      </c>
      <c r="BR77" s="26">
        <f t="shared" si="96"/>
        <v>-4710290.4405027684</v>
      </c>
      <c r="BS77" s="26">
        <f t="shared" si="97"/>
        <v>-5452395.3908173889</v>
      </c>
      <c r="BT77" s="26">
        <f t="shared" si="98"/>
        <v>-6216566.6717533534</v>
      </c>
      <c r="BU77" s="26">
        <f t="shared" si="99"/>
        <v>-7016214.7473612148</v>
      </c>
      <c r="BV77" s="26">
        <f t="shared" si="100"/>
        <v>-7866518.620969112</v>
      </c>
      <c r="BW77" s="26">
        <f t="shared" si="127"/>
        <v>-10111921.384606043</v>
      </c>
      <c r="BX77" s="26">
        <f t="shared" si="128"/>
        <v>-11436335.849987654</v>
      </c>
      <c r="BY77" s="26">
        <f t="shared" si="129"/>
        <v>-12804725.382779481</v>
      </c>
      <c r="BZ77" s="26">
        <f t="shared" si="130"/>
        <v>-14218825.973324502</v>
      </c>
      <c r="CA77" s="26">
        <f t="shared" si="131"/>
        <v>-15680457.040833184</v>
      </c>
      <c r="CB77" s="26">
        <f t="shared" si="132"/>
        <v>-17191534.696138714</v>
      </c>
      <c r="CC77" s="26">
        <f t="shared" si="133"/>
        <v>-18754087.612185024</v>
      </c>
      <c r="CD77" s="26">
        <f t="shared" si="134"/>
        <v>-20370275.955422815</v>
      </c>
      <c r="CE77" s="26">
        <f t="shared" si="135"/>
        <v>-22042413.974975772</v>
      </c>
      <c r="CF77" s="26">
        <f t="shared" si="136"/>
        <v>-23772997.002138607</v>
      </c>
      <c r="CG77" s="26">
        <f t="shared" si="137"/>
        <v>-25564733.78642875</v>
      </c>
      <c r="CH77" s="26">
        <f t="shared" si="138"/>
        <v>-27420585.291528083</v>
      </c>
      <c r="CI77" s="26">
        <f t="shared" si="139"/>
        <v>-29343811.300096054</v>
      </c>
      <c r="CJ77" s="26">
        <f t="shared" si="140"/>
        <v>-31338026.435184635</v>
      </c>
      <c r="CK77" s="26">
        <f t="shared" si="140"/>
        <v>-34342000</v>
      </c>
      <c r="CM77" s="47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4"/>
      <c r="DC77" s="50">
        <v>0</v>
      </c>
      <c r="DD77" s="14">
        <f t="shared" ref="DC77:DM77" si="166">$C$20/($C$21-$C$22*DC77)</f>
        <v>0.47951790558030016</v>
      </c>
      <c r="DE77" s="14">
        <f t="shared" si="166"/>
        <v>0.62269991964003457</v>
      </c>
      <c r="DF77" s="14">
        <f t="shared" si="166"/>
        <v>0.68365413138804965</v>
      </c>
      <c r="DG77" s="14">
        <f t="shared" si="166"/>
        <v>0.71338189544565556</v>
      </c>
      <c r="DH77" s="14">
        <f t="shared" si="166"/>
        <v>0.7288385559423749</v>
      </c>
      <c r="DI77" s="14">
        <f t="shared" si="166"/>
        <v>0.73714277157833852</v>
      </c>
      <c r="DJ77" s="14">
        <f t="shared" si="166"/>
        <v>0.74168290376483481</v>
      </c>
      <c r="DK77" s="14">
        <f t="shared" si="166"/>
        <v>0.74418883943825731</v>
      </c>
      <c r="DL77" s="14">
        <f t="shared" si="166"/>
        <v>0.74557926227188609</v>
      </c>
      <c r="DM77" s="14">
        <f t="shared" si="166"/>
        <v>0.74635298434150033</v>
      </c>
      <c r="DN77" s="14">
        <f t="shared" ref="DN77:EA77" si="167">$C$20/($C$21-$C$22*DM77)</f>
        <v>0.74678422966310576</v>
      </c>
      <c r="DO77" s="14">
        <f t="shared" si="167"/>
        <v>0.7470248069144555</v>
      </c>
      <c r="DP77" s="14">
        <f t="shared" si="167"/>
        <v>0.74715908423415356</v>
      </c>
      <c r="DQ77" s="14">
        <f t="shared" si="167"/>
        <v>0.7472340516255952</v>
      </c>
      <c r="DR77" s="14">
        <f t="shared" si="167"/>
        <v>0.74727591266789473</v>
      </c>
      <c r="DS77" s="14">
        <f t="shared" si="167"/>
        <v>0.74729928949639013</v>
      </c>
      <c r="DT77" s="14">
        <f t="shared" si="167"/>
        <v>0.74731234465992313</v>
      </c>
      <c r="DU77" s="14">
        <f t="shared" si="167"/>
        <v>0.74731963572317806</v>
      </c>
      <c r="DV77" s="14">
        <f t="shared" si="167"/>
        <v>0.74732370770676959</v>
      </c>
      <c r="DW77" s="14">
        <f t="shared" si="167"/>
        <v>0.74732598188689847</v>
      </c>
      <c r="DX77" s="14">
        <f t="shared" si="167"/>
        <v>0.74732725200984262</v>
      </c>
      <c r="DY77" s="14">
        <f t="shared" si="167"/>
        <v>0.74732796137166757</v>
      </c>
      <c r="DZ77" s="14">
        <f t="shared" si="167"/>
        <v>0.74732835754980542</v>
      </c>
      <c r="EA77" s="14">
        <f t="shared" si="167"/>
        <v>0.74732857881523174</v>
      </c>
      <c r="EB77" s="14">
        <f t="shared" ref="EB77" si="168">$C$20/($C$21-$C$22*EA77)</f>
        <v>0.74732870239199378</v>
      </c>
      <c r="ED77" s="47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14">
        <f t="shared" si="102"/>
        <v>1.8480257378466345E-2</v>
      </c>
      <c r="EU77" s="14">
        <f t="shared" si="103"/>
        <v>0.12397550675108428</v>
      </c>
      <c r="EV77" s="14">
        <f t="shared" si="104"/>
        <v>0.34777146575727591</v>
      </c>
      <c r="EW77" s="14">
        <f t="shared" si="105"/>
        <v>0.66377048049324194</v>
      </c>
      <c r="EX77" s="14">
        <f t="shared" si="106"/>
        <v>1.0496125515873149</v>
      </c>
      <c r="EY77" s="14">
        <f t="shared" si="107"/>
        <v>1.48629631956982</v>
      </c>
      <c r="EZ77" s="14">
        <f t="shared" si="108"/>
        <v>1.9593331232827302</v>
      </c>
      <c r="FA77" s="14">
        <f t="shared" si="109"/>
        <v>2.4591612051785212</v>
      </c>
      <c r="FB77" s="14">
        <f t="shared" si="110"/>
        <v>2.9809011035576378</v>
      </c>
      <c r="FC77" s="14">
        <f t="shared" si="111"/>
        <v>3.5237777012379206</v>
      </c>
      <c r="FD77" s="14">
        <f t="shared" si="112"/>
        <v>4.0904794286337296</v>
      </c>
      <c r="FE77" s="14">
        <f t="shared" si="144"/>
        <v>4.9331690667806702</v>
      </c>
      <c r="FF77" s="14">
        <f t="shared" si="145"/>
        <v>5.810380410918019</v>
      </c>
      <c r="FG77" s="14">
        <f t="shared" si="146"/>
        <v>6.7211707682833568</v>
      </c>
      <c r="FH77" s="14">
        <f t="shared" si="147"/>
        <v>7.6652704860972882</v>
      </c>
      <c r="FI77" s="14">
        <f t="shared" si="148"/>
        <v>8.642904795916353</v>
      </c>
      <c r="FJ77" s="14">
        <f t="shared" si="149"/>
        <v>9.6546628976948732</v>
      </c>
      <c r="FK77" s="14">
        <f t="shared" si="150"/>
        <v>10.701407270813247</v>
      </c>
      <c r="FL77" s="14">
        <f t="shared" si="151"/>
        <v>11.784214372052809</v>
      </c>
      <c r="FM77" s="14">
        <f t="shared" si="152"/>
        <v>12.904338831308632</v>
      </c>
      <c r="FN77" s="14">
        <f t="shared" si="153"/>
        <v>14.063195032738193</v>
      </c>
      <c r="FO77" s="14">
        <f t="shared" si="154"/>
        <v>15.262351746298428</v>
      </c>
      <c r="FP77" s="14">
        <f t="shared" si="155"/>
        <v>16.503536968919317</v>
      </c>
      <c r="FQ77" s="14">
        <f t="shared" si="156"/>
        <v>17.788651301907205</v>
      </c>
      <c r="FR77" s="14">
        <f t="shared" si="157"/>
        <v>19.119789078255398</v>
      </c>
      <c r="FS77" s="14">
        <f t="shared" si="158"/>
        <v>20.673036390106457</v>
      </c>
    </row>
    <row r="78" spans="5:175" x14ac:dyDescent="0.25">
      <c r="E78" s="46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51">
        <f t="shared" si="126"/>
        <v>1.4149496930914043E-2</v>
      </c>
      <c r="V78" s="51">
        <f t="shared" si="126"/>
        <v>2.5960295524964656</v>
      </c>
      <c r="W78" s="51">
        <f t="shared" si="126"/>
        <v>5.1621059451522155</v>
      </c>
      <c r="X78" s="51">
        <f t="shared" si="126"/>
        <v>7.7290425782699863</v>
      </c>
      <c r="Y78" s="51">
        <f t="shared" si="126"/>
        <v>10.317819915015981</v>
      </c>
      <c r="Z78" s="51">
        <f t="shared" si="126"/>
        <v>12.953917950658711</v>
      </c>
      <c r="AA78" s="51">
        <f t="shared" si="126"/>
        <v>15.667564153941687</v>
      </c>
      <c r="AB78" s="51">
        <f t="shared" si="126"/>
        <v>18.494067977966665</v>
      </c>
      <c r="AC78" s="51">
        <f t="shared" si="126"/>
        <v>21.474262802117806</v>
      </c>
      <c r="AD78" s="51">
        <f t="shared" si="126"/>
        <v>24.655076265446343</v>
      </c>
      <c r="AE78" s="51">
        <f t="shared" si="126"/>
        <v>28.090250628869942</v>
      </c>
      <c r="AF78" s="51">
        <f t="shared" si="126"/>
        <v>31.84123575990683</v>
      </c>
      <c r="AG78" s="51">
        <f t="shared" si="126"/>
        <v>35.727218657709074</v>
      </c>
      <c r="AH78" s="14">
        <f t="shared" si="126"/>
        <v>39.750352384385941</v>
      </c>
      <c r="AI78" s="14">
        <f t="shared" si="126"/>
        <v>43.913385921397193</v>
      </c>
      <c r="AJ78" s="14">
        <f t="shared" si="126"/>
        <v>48.219542466601027</v>
      </c>
      <c r="AK78" s="14">
        <f t="shared" si="126"/>
        <v>52.67241705302952</v>
      </c>
      <c r="AL78" s="14">
        <f t="shared" si="126"/>
        <v>57.275885078146985</v>
      </c>
      <c r="AM78" s="14">
        <f t="shared" si="126"/>
        <v>62.034013827966589</v>
      </c>
      <c r="AN78" s="14">
        <f t="shared" si="126"/>
        <v>66.950968971718751</v>
      </c>
      <c r="AO78" s="14">
        <f t="shared" si="126"/>
        <v>72.030907266661885</v>
      </c>
      <c r="AP78" s="14">
        <f t="shared" si="126"/>
        <v>77.277845279435525</v>
      </c>
      <c r="AQ78" s="14">
        <f t="shared" si="126"/>
        <v>82.695491678125535</v>
      </c>
      <c r="AR78" s="14">
        <f t="shared" si="126"/>
        <v>88.287027394173492</v>
      </c>
      <c r="AS78" s="14">
        <f t="shared" si="159"/>
        <v>94.05481343582332</v>
      </c>
      <c r="AT78" s="14">
        <v>100</v>
      </c>
      <c r="AV78" s="47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6">
        <f t="shared" si="90"/>
        <v>-118621.17556056341</v>
      </c>
      <c r="BM78" s="26">
        <f t="shared" si="91"/>
        <v>-955059.19381573866</v>
      </c>
      <c r="BN78" s="26">
        <f t="shared" si="92"/>
        <v>-1769312.2570268512</v>
      </c>
      <c r="BO78" s="26">
        <f t="shared" si="93"/>
        <v>-2566508.1736440156</v>
      </c>
      <c r="BP78" s="26">
        <f t="shared" si="94"/>
        <v>-3353116.505649914</v>
      </c>
      <c r="BQ78" s="26">
        <f t="shared" si="95"/>
        <v>-4136890.8687014268</v>
      </c>
      <c r="BR78" s="26">
        <f t="shared" si="96"/>
        <v>-4926867.2463638075</v>
      </c>
      <c r="BS78" s="26">
        <f t="shared" si="97"/>
        <v>-5733395.0044861436</v>
      </c>
      <c r="BT78" s="26">
        <f t="shared" si="98"/>
        <v>-6568204.4020101735</v>
      </c>
      <c r="BU78" s="26">
        <f t="shared" si="99"/>
        <v>-7444515.472697407</v>
      </c>
      <c r="BV78" s="26">
        <f t="shared" si="100"/>
        <v>-8377194.5851610824</v>
      </c>
      <c r="BW78" s="26">
        <f t="shared" si="127"/>
        <v>-10392226.162270471</v>
      </c>
      <c r="BX78" s="26">
        <f t="shared" si="128"/>
        <v>-11718095.099354474</v>
      </c>
      <c r="BY78" s="26">
        <f t="shared" si="129"/>
        <v>-13088668.778301613</v>
      </c>
      <c r="BZ78" s="26">
        <f t="shared" si="130"/>
        <v>-14505380.500192007</v>
      </c>
      <c r="CA78" s="26">
        <f t="shared" si="131"/>
        <v>-15969748.748157043</v>
      </c>
      <c r="CB78" s="26">
        <f t="shared" si="132"/>
        <v>-17483375.840821721</v>
      </c>
      <c r="CC78" s="26">
        <f t="shared" si="133"/>
        <v>-19047948.340234615</v>
      </c>
      <c r="CD78" s="26">
        <f t="shared" si="134"/>
        <v>-20665238.92519135</v>
      </c>
      <c r="CE78" s="26">
        <f t="shared" si="135"/>
        <v>-22337109.496479951</v>
      </c>
      <c r="CF78" s="26">
        <f t="shared" si="136"/>
        <v>-24065515.307838377</v>
      </c>
      <c r="CG78" s="26">
        <f t="shared" si="137"/>
        <v>-25852509.914479975</v>
      </c>
      <c r="CH78" s="26">
        <f t="shared" si="138"/>
        <v>-27700250.696322858</v>
      </c>
      <c r="CI78" s="26">
        <f t="shared" si="139"/>
        <v>-29611004.63878753</v>
      </c>
      <c r="CJ78" s="26">
        <f t="shared" si="140"/>
        <v>-31587153.929572534</v>
      </c>
      <c r="CK78" s="26">
        <f t="shared" si="140"/>
        <v>-34342000</v>
      </c>
      <c r="CM78" s="47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50">
        <v>0</v>
      </c>
      <c r="DD78" s="14">
        <f t="shared" ref="DC78:DM78" si="169">$C$20/($C$21-$C$22*DC78)</f>
        <v>0.47951790558030016</v>
      </c>
      <c r="DE78" s="14">
        <f t="shared" si="169"/>
        <v>0.62269991964003457</v>
      </c>
      <c r="DF78" s="14">
        <f t="shared" si="169"/>
        <v>0.68365413138804965</v>
      </c>
      <c r="DG78" s="14">
        <f t="shared" si="169"/>
        <v>0.71338189544565556</v>
      </c>
      <c r="DH78" s="14">
        <f t="shared" si="169"/>
        <v>0.7288385559423749</v>
      </c>
      <c r="DI78" s="14">
        <f t="shared" si="169"/>
        <v>0.73714277157833852</v>
      </c>
      <c r="DJ78" s="14">
        <f t="shared" si="169"/>
        <v>0.74168290376483481</v>
      </c>
      <c r="DK78" s="14">
        <f t="shared" si="169"/>
        <v>0.74418883943825731</v>
      </c>
      <c r="DL78" s="14">
        <f t="shared" si="169"/>
        <v>0.74557926227188609</v>
      </c>
      <c r="DM78" s="14">
        <f t="shared" si="169"/>
        <v>0.74635298434150033</v>
      </c>
      <c r="DN78" s="14">
        <f t="shared" ref="DN78:EA78" si="170">$C$20/($C$21-$C$22*DM78)</f>
        <v>0.74678422966310576</v>
      </c>
      <c r="DO78" s="14">
        <f t="shared" si="170"/>
        <v>0.7470248069144555</v>
      </c>
      <c r="DP78" s="14">
        <f t="shared" si="170"/>
        <v>0.74715908423415356</v>
      </c>
      <c r="DQ78" s="14">
        <f t="shared" si="170"/>
        <v>0.7472340516255952</v>
      </c>
      <c r="DR78" s="14">
        <f t="shared" si="170"/>
        <v>0.74727591266789473</v>
      </c>
      <c r="DS78" s="14">
        <f t="shared" si="170"/>
        <v>0.74729928949639013</v>
      </c>
      <c r="DT78" s="14">
        <f t="shared" si="170"/>
        <v>0.74731234465992313</v>
      </c>
      <c r="DU78" s="14">
        <f t="shared" si="170"/>
        <v>0.74731963572317806</v>
      </c>
      <c r="DV78" s="14">
        <f t="shared" si="170"/>
        <v>0.74732370770676959</v>
      </c>
      <c r="DW78" s="14">
        <f t="shared" si="170"/>
        <v>0.74732598188689847</v>
      </c>
      <c r="DX78" s="14">
        <f t="shared" si="170"/>
        <v>0.74732725200984262</v>
      </c>
      <c r="DY78" s="14">
        <f t="shared" si="170"/>
        <v>0.74732796137166757</v>
      </c>
      <c r="DZ78" s="14">
        <f t="shared" si="170"/>
        <v>0.74732835754980542</v>
      </c>
      <c r="EA78" s="14">
        <f t="shared" si="170"/>
        <v>0.74732857881523174</v>
      </c>
      <c r="EB78" s="14">
        <f t="shared" ref="EB78" si="171">$C$20/($C$21-$C$22*EA78)</f>
        <v>0.74732870239199378</v>
      </c>
      <c r="ED78" s="47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14">
        <f t="shared" si="102"/>
        <v>1.4149496930914043E-2</v>
      </c>
      <c r="EU78" s="14">
        <f t="shared" si="103"/>
        <v>0.12070732129345937</v>
      </c>
      <c r="EV78" s="14">
        <f t="shared" si="104"/>
        <v>0.34923175276908969</v>
      </c>
      <c r="EW78" s="14">
        <f t="shared" si="105"/>
        <v>0.67522236645141576</v>
      </c>
      <c r="EX78" s="14">
        <f t="shared" si="106"/>
        <v>1.0767293739275683</v>
      </c>
      <c r="EY78" s="14">
        <f t="shared" si="107"/>
        <v>1.5347931175653362</v>
      </c>
      <c r="EZ78" s="14">
        <f t="shared" si="108"/>
        <v>2.034795626905141</v>
      </c>
      <c r="FA78" s="14">
        <f t="shared" si="109"/>
        <v>2.5669743866827535</v>
      </c>
      <c r="FB78" s="14">
        <f t="shared" si="110"/>
        <v>3.1262302098735697</v>
      </c>
      <c r="FC78" s="14">
        <f t="shared" si="111"/>
        <v>3.711567924541106</v>
      </c>
      <c r="FD78" s="14">
        <f t="shared" si="112"/>
        <v>4.3254492943421772</v>
      </c>
      <c r="FE78" s="14">
        <f t="shared" si="144"/>
        <v>5.1607122966042196</v>
      </c>
      <c r="FF78" s="14">
        <f t="shared" si="145"/>
        <v>6.0327193429815997</v>
      </c>
      <c r="FG78" s="14">
        <f t="shared" si="146"/>
        <v>6.9400671737338433</v>
      </c>
      <c r="FH78" s="14">
        <f t="shared" si="147"/>
        <v>7.8821018365464584</v>
      </c>
      <c r="FI78" s="14">
        <f t="shared" si="148"/>
        <v>8.8587139408744111</v>
      </c>
      <c r="FJ78" s="14">
        <f t="shared" si="149"/>
        <v>9.8701888288533883</v>
      </c>
      <c r="FK78" s="14">
        <f t="shared" si="150"/>
        <v>10.917100755703178</v>
      </c>
      <c r="FL78" s="14">
        <f t="shared" si="151"/>
        <v>12.000240084707929</v>
      </c>
      <c r="FM78" s="14">
        <f t="shared" si="152"/>
        <v>13.120564283714506</v>
      </c>
      <c r="FN78" s="14">
        <f t="shared" si="153"/>
        <v>14.279165665103905</v>
      </c>
      <c r="FO78" s="14">
        <f t="shared" si="154"/>
        <v>15.477250730019163</v>
      </c>
      <c r="FP78" s="14">
        <f t="shared" si="155"/>
        <v>16.716127480073293</v>
      </c>
      <c r="FQ78" s="14">
        <f t="shared" si="156"/>
        <v>17.99719814952628</v>
      </c>
      <c r="FR78" s="14">
        <f t="shared" si="157"/>
        <v>19.321955554300153</v>
      </c>
      <c r="FS78" s="14">
        <f t="shared" si="158"/>
        <v>20.824121200316146</v>
      </c>
    </row>
    <row r="79" spans="5:175" x14ac:dyDescent="0.25">
      <c r="E79" s="46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51">
        <f t="shared" si="126"/>
        <v>1.097798181188268E-2</v>
      </c>
      <c r="V79" s="51">
        <f t="shared" si="126"/>
        <v>2.6588670699724313</v>
      </c>
      <c r="W79" s="51">
        <f t="shared" si="126"/>
        <v>5.2974553013587791</v>
      </c>
      <c r="X79" s="51">
        <f t="shared" si="126"/>
        <v>7.9429265927496573</v>
      </c>
      <c r="Y79" s="51">
        <f t="shared" si="126"/>
        <v>10.615085339593007</v>
      </c>
      <c r="Z79" s="51">
        <f t="shared" si="126"/>
        <v>13.337442277466442</v>
      </c>
      <c r="AA79" s="51">
        <f t="shared" si="126"/>
        <v>16.137312806129739</v>
      </c>
      <c r="AB79" s="51">
        <f t="shared" si="126"/>
        <v>19.045936935731206</v>
      </c>
      <c r="AC79" s="51">
        <f t="shared" si="126"/>
        <v>22.098626141844427</v>
      </c>
      <c r="AD79" s="51">
        <f t="shared" si="126"/>
        <v>25.334938360502804</v>
      </c>
      <c r="AE79" s="51">
        <f t="shared" si="126"/>
        <v>28.798877682156434</v>
      </c>
      <c r="AF79" s="51">
        <f t="shared" si="126"/>
        <v>32.539109480941121</v>
      </c>
      <c r="AG79" s="51">
        <f t="shared" si="126"/>
        <v>36.415761919296074</v>
      </c>
      <c r="AH79" s="14">
        <f t="shared" si="126"/>
        <v>40.430013100749413</v>
      </c>
      <c r="AI79" s="14">
        <f t="shared" si="126"/>
        <v>44.583544709590974</v>
      </c>
      <c r="AJ79" s="14">
        <f t="shared" si="126"/>
        <v>48.878394030020019</v>
      </c>
      <c r="AK79" s="14">
        <f t="shared" si="126"/>
        <v>53.316816368365977</v>
      </c>
      <c r="AL79" s="14">
        <f t="shared" si="126"/>
        <v>57.901149375974143</v>
      </c>
      <c r="AM79" s="14">
        <f t="shared" si="126"/>
        <v>62.63367075086839</v>
      </c>
      <c r="AN79" s="14">
        <f t="shared" si="126"/>
        <v>67.516440253749607</v>
      </c>
      <c r="AO79" s="14">
        <f t="shared" si="126"/>
        <v>72.551115868009063</v>
      </c>
      <c r="AP79" s="14">
        <f t="shared" si="126"/>
        <v>77.738732188972733</v>
      </c>
      <c r="AQ79" s="14">
        <f t="shared" si="126"/>
        <v>83.079426629264077</v>
      </c>
      <c r="AR79" s="14">
        <f t="shared" si="126"/>
        <v>88.572095612160211</v>
      </c>
      <c r="AS79" s="14">
        <f t="shared" si="159"/>
        <v>94.21395837228701</v>
      </c>
      <c r="AT79" s="14">
        <v>100</v>
      </c>
      <c r="AV79" s="47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6">
        <f t="shared" si="90"/>
        <v>-92033.032281373497</v>
      </c>
      <c r="BM79" s="26">
        <f t="shared" si="91"/>
        <v>-950497.57340222108</v>
      </c>
      <c r="BN79" s="26">
        <f t="shared" si="92"/>
        <v>-1791582.1983744223</v>
      </c>
      <c r="BO79" s="26">
        <f t="shared" si="93"/>
        <v>-2620476.279563148</v>
      </c>
      <c r="BP79" s="26">
        <f t="shared" si="94"/>
        <v>-3443635.8793820851</v>
      </c>
      <c r="BQ79" s="26">
        <f t="shared" si="95"/>
        <v>-4268739.7919522775</v>
      </c>
      <c r="BR79" s="26">
        <f t="shared" si="96"/>
        <v>-5104686.4881096277</v>
      </c>
      <c r="BS79" s="26">
        <f t="shared" si="97"/>
        <v>-5961614.0548915695</v>
      </c>
      <c r="BT79" s="26">
        <f t="shared" si="98"/>
        <v>-6850945.6792006912</v>
      </c>
      <c r="BU79" s="26">
        <f t="shared" si="99"/>
        <v>-7785463.5777229499</v>
      </c>
      <c r="BV79" s="26">
        <f t="shared" si="100"/>
        <v>-8779414.815539293</v>
      </c>
      <c r="BW79" s="26">
        <f t="shared" si="127"/>
        <v>-10626170.006872339</v>
      </c>
      <c r="BX79" s="26">
        <f t="shared" si="128"/>
        <v>-11952754.011069173</v>
      </c>
      <c r="BY79" s="26">
        <f t="shared" si="129"/>
        <v>-13324567.780958708</v>
      </c>
      <c r="BZ79" s="26">
        <f t="shared" si="130"/>
        <v>-14742783.723586008</v>
      </c>
      <c r="CA79" s="26">
        <f t="shared" si="131"/>
        <v>-16208654.545763528</v>
      </c>
      <c r="CB79" s="26">
        <f t="shared" si="132"/>
        <v>-17723500.186790153</v>
      </c>
      <c r="CC79" s="26">
        <f t="shared" si="133"/>
        <v>-19288695.482206993</v>
      </c>
      <c r="CD79" s="26">
        <f t="shared" si="134"/>
        <v>-20905657.734755561</v>
      </c>
      <c r="CE79" s="26">
        <f t="shared" si="135"/>
        <v>-22575833.34420212</v>
      </c>
      <c r="CF79" s="26">
        <f t="shared" si="136"/>
        <v>-24300682.570440792</v>
      </c>
      <c r="CG79" s="26">
        <f t="shared" si="137"/>
        <v>-26081661.368639793</v>
      </c>
      <c r="CH79" s="26">
        <f t="shared" si="138"/>
        <v>-27920199.03175056</v>
      </c>
      <c r="CI79" s="26">
        <f t="shared" si="139"/>
        <v>-29817670.090660818</v>
      </c>
      <c r="CJ79" s="26">
        <f t="shared" si="140"/>
        <v>-31775358.536514275</v>
      </c>
      <c r="CK79" s="26">
        <f t="shared" si="140"/>
        <v>-34342000</v>
      </c>
      <c r="CM79" s="47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50">
        <v>0</v>
      </c>
      <c r="DD79" s="14">
        <f t="shared" ref="DC79:DM79" si="172">$C$20/($C$21-$C$22*DC79)</f>
        <v>0.47951790558030016</v>
      </c>
      <c r="DE79" s="14">
        <f t="shared" si="172"/>
        <v>0.62269991964003457</v>
      </c>
      <c r="DF79" s="14">
        <f t="shared" si="172"/>
        <v>0.68365413138804965</v>
      </c>
      <c r="DG79" s="14">
        <f t="shared" si="172"/>
        <v>0.71338189544565556</v>
      </c>
      <c r="DH79" s="14">
        <f t="shared" si="172"/>
        <v>0.7288385559423749</v>
      </c>
      <c r="DI79" s="14">
        <f t="shared" si="172"/>
        <v>0.73714277157833852</v>
      </c>
      <c r="DJ79" s="14">
        <f t="shared" si="172"/>
        <v>0.74168290376483481</v>
      </c>
      <c r="DK79" s="14">
        <f t="shared" si="172"/>
        <v>0.74418883943825731</v>
      </c>
      <c r="DL79" s="14">
        <f t="shared" si="172"/>
        <v>0.74557926227188609</v>
      </c>
      <c r="DM79" s="14">
        <f t="shared" si="172"/>
        <v>0.74635298434150033</v>
      </c>
      <c r="DN79" s="14">
        <f t="shared" ref="DN79:EA79" si="173">$C$20/($C$21-$C$22*DM79)</f>
        <v>0.74678422966310576</v>
      </c>
      <c r="DO79" s="14">
        <f t="shared" si="173"/>
        <v>0.7470248069144555</v>
      </c>
      <c r="DP79" s="14">
        <f t="shared" si="173"/>
        <v>0.74715908423415356</v>
      </c>
      <c r="DQ79" s="14">
        <f t="shared" si="173"/>
        <v>0.7472340516255952</v>
      </c>
      <c r="DR79" s="14">
        <f t="shared" si="173"/>
        <v>0.74727591266789473</v>
      </c>
      <c r="DS79" s="14">
        <f t="shared" si="173"/>
        <v>0.74729928949639013</v>
      </c>
      <c r="DT79" s="14">
        <f t="shared" si="173"/>
        <v>0.74731234465992313</v>
      </c>
      <c r="DU79" s="14">
        <f t="shared" si="173"/>
        <v>0.74731963572317806</v>
      </c>
      <c r="DV79" s="14">
        <f t="shared" si="173"/>
        <v>0.74732370770676959</v>
      </c>
      <c r="DW79" s="14">
        <f t="shared" si="173"/>
        <v>0.74732598188689847</v>
      </c>
      <c r="DX79" s="14">
        <f t="shared" si="173"/>
        <v>0.74732725200984262</v>
      </c>
      <c r="DY79" s="14">
        <f t="shared" si="173"/>
        <v>0.74732796137166757</v>
      </c>
      <c r="DZ79" s="14">
        <f t="shared" si="173"/>
        <v>0.74732835754980542</v>
      </c>
      <c r="EA79" s="14">
        <f t="shared" si="173"/>
        <v>0.74732857881523174</v>
      </c>
      <c r="EB79" s="14">
        <f t="shared" ref="EB79" si="174">$C$20/($C$21-$C$22*EA79)</f>
        <v>0.74732870239199378</v>
      </c>
      <c r="ED79" s="47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14">
        <f t="shared" si="102"/>
        <v>1.097798181188268E-2</v>
      </c>
      <c r="EU79" s="14">
        <f t="shared" si="103"/>
        <v>0.11864239895961189</v>
      </c>
      <c r="EV79" s="14">
        <f t="shared" si="104"/>
        <v>0.35139555034687442</v>
      </c>
      <c r="EW79" s="14">
        <f t="shared" si="105"/>
        <v>0.6858796453001802</v>
      </c>
      <c r="EX79" s="14">
        <f t="shared" si="106"/>
        <v>1.1003954872969754</v>
      </c>
      <c r="EY79" s="14">
        <f t="shared" si="107"/>
        <v>1.5759465150564493</v>
      </c>
      <c r="EZ79" s="14">
        <f t="shared" si="108"/>
        <v>2.0977380660185885</v>
      </c>
      <c r="FA79" s="14">
        <f t="shared" si="109"/>
        <v>2.6557637296345438</v>
      </c>
      <c r="FB79" s="14">
        <f t="shared" si="110"/>
        <v>3.2446477661020596</v>
      </c>
      <c r="FC79" s="14">
        <f t="shared" si="111"/>
        <v>3.8630923839823263</v>
      </c>
      <c r="FD79" s="14">
        <f t="shared" si="112"/>
        <v>4.5132162132412184</v>
      </c>
      <c r="FE79" s="14">
        <f t="shared" si="144"/>
        <v>5.3443927684445418</v>
      </c>
      <c r="FF79" s="14">
        <f t="shared" si="145"/>
        <v>6.2135391891598406</v>
      </c>
      <c r="FG79" s="14">
        <f t="shared" si="146"/>
        <v>7.119012663618979</v>
      </c>
      <c r="FH79" s="14">
        <f t="shared" si="147"/>
        <v>8.0599443015868086</v>
      </c>
      <c r="FI79" s="14">
        <f t="shared" si="148"/>
        <v>9.0360214178027842</v>
      </c>
      <c r="FJ79" s="14">
        <f t="shared" si="149"/>
        <v>10.047328578676149</v>
      </c>
      <c r="FK79" s="14">
        <f t="shared" si="150"/>
        <v>11.094234032485041</v>
      </c>
      <c r="FL79" s="14">
        <f t="shared" si="151"/>
        <v>12.177309215110517</v>
      </c>
      <c r="FM79" s="14">
        <f t="shared" si="152"/>
        <v>13.297271345005628</v>
      </c>
      <c r="FN79" s="14">
        <f t="shared" si="153"/>
        <v>14.454941504242377</v>
      </c>
      <c r="FO79" s="14">
        <f t="shared" si="154"/>
        <v>15.651212587571473</v>
      </c>
      <c r="FP79" s="14">
        <f t="shared" si="155"/>
        <v>16.88702298101197</v>
      </c>
      <c r="FQ79" s="14">
        <f t="shared" si="156"/>
        <v>18.163332843533233</v>
      </c>
      <c r="FR79" s="14">
        <f t="shared" si="157"/>
        <v>19.481100490763836</v>
      </c>
      <c r="FS79" s="14">
        <f t="shared" si="158"/>
        <v>20.943054779175807</v>
      </c>
    </row>
    <row r="80" spans="5:175" x14ac:dyDescent="0.25">
      <c r="E80" s="46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51">
        <f t="shared" si="126"/>
        <v>8.7058749328862324E-3</v>
      </c>
      <c r="V80" s="51">
        <f t="shared" si="126"/>
        <v>2.7094892349968411</v>
      </c>
      <c r="W80" s="51">
        <f t="shared" si="126"/>
        <v>5.4056364606977398</v>
      </c>
      <c r="X80" s="51">
        <f t="shared" si="126"/>
        <v>8.1129566500995303</v>
      </c>
      <c r="Y80" s="51">
        <f t="shared" si="126"/>
        <v>10.850344549264104</v>
      </c>
      <c r="Z80" s="51">
        <f t="shared" si="126"/>
        <v>13.639799397373347</v>
      </c>
      <c r="AA80" s="51">
        <f t="shared" si="126"/>
        <v>16.506421138813902</v>
      </c>
      <c r="AB80" s="51">
        <f t="shared" si="126"/>
        <v>19.478385561664957</v>
      </c>
      <c r="AC80" s="51">
        <f t="shared" si="126"/>
        <v>22.586894485228864</v>
      </c>
      <c r="AD80" s="51">
        <f t="shared" si="126"/>
        <v>25.866091011453054</v>
      </c>
      <c r="AE80" s="51">
        <f t="shared" si="126"/>
        <v>29.352922610342752</v>
      </c>
      <c r="AF80" s="51">
        <f t="shared" si="126"/>
        <v>33.086925850879901</v>
      </c>
      <c r="AG80" s="51">
        <f t="shared" si="126"/>
        <v>36.957607648699685</v>
      </c>
      <c r="AH80" s="14">
        <f t="shared" si="126"/>
        <v>40.965558813755145</v>
      </c>
      <c r="AI80" s="14">
        <f t="shared" si="126"/>
        <v>45.111758015770221</v>
      </c>
      <c r="AJ80" s="14">
        <f t="shared" si="126"/>
        <v>49.397416003683091</v>
      </c>
      <c r="AK80" s="14">
        <f t="shared" si="126"/>
        <v>53.823821779264591</v>
      </c>
      <c r="AL80" s="14">
        <f t="shared" si="126"/>
        <v>58.392183023680545</v>
      </c>
      <c r="AM80" s="14">
        <f t="shared" si="126"/>
        <v>63.103452655884155</v>
      </c>
      <c r="AN80" s="14">
        <f t="shared" si="126"/>
        <v>67.958132581340806</v>
      </c>
      <c r="AO80" s="14">
        <f t="shared" si="126"/>
        <v>72.956044421207721</v>
      </c>
      <c r="AP80" s="14">
        <f t="shared" si="126"/>
        <v>78.096055226145367</v>
      </c>
      <c r="AQ80" s="14">
        <f t="shared" si="126"/>
        <v>83.375743780014034</v>
      </c>
      <c r="AR80" s="14">
        <f t="shared" si="126"/>
        <v>88.790989960543271</v>
      </c>
      <c r="AS80" s="14">
        <f t="shared" si="159"/>
        <v>94.335465583035742</v>
      </c>
      <c r="AT80" s="14">
        <v>100</v>
      </c>
      <c r="AV80" s="47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6">
        <f t="shared" si="90"/>
        <v>-72985.006029857104</v>
      </c>
      <c r="BM80" s="26">
        <f t="shared" si="91"/>
        <v>-949130.05322209955</v>
      </c>
      <c r="BN80" s="26">
        <f t="shared" si="92"/>
        <v>-1811488.3592552382</v>
      </c>
      <c r="BO80" s="26">
        <f t="shared" si="93"/>
        <v>-2665279.3795307926</v>
      </c>
      <c r="BP80" s="26">
        <f t="shared" si="94"/>
        <v>-3516916.1903507048</v>
      </c>
      <c r="BQ80" s="26">
        <f t="shared" si="95"/>
        <v>-4373968.9978540745</v>
      </c>
      <c r="BR80" s="26">
        <f t="shared" si="96"/>
        <v>-5245157.5682212617</v>
      </c>
      <c r="BS80" s="26">
        <f t="shared" si="97"/>
        <v>-6140358.2767213322</v>
      </c>
      <c r="BT80" s="26">
        <f t="shared" si="98"/>
        <v>-7070627.1414229516</v>
      </c>
      <c r="BU80" s="26">
        <f t="shared" si="99"/>
        <v>-8048239.983037862</v>
      </c>
      <c r="BV80" s="26">
        <f t="shared" si="100"/>
        <v>-9086750.6834211573</v>
      </c>
      <c r="BW80" s="26">
        <f t="shared" si="127"/>
        <v>-10813264.275432987</v>
      </c>
      <c r="BX80" s="26">
        <f t="shared" si="128"/>
        <v>-12140158.762429025</v>
      </c>
      <c r="BY80" s="26">
        <f t="shared" si="129"/>
        <v>-13512635.099242147</v>
      </c>
      <c r="BZ80" s="26">
        <f t="shared" si="130"/>
        <v>-14931655.61846664</v>
      </c>
      <c r="CA80" s="26">
        <f t="shared" si="131"/>
        <v>-16398254.497556994</v>
      </c>
      <c r="CB80" s="26">
        <f t="shared" si="132"/>
        <v>-17913515.890720561</v>
      </c>
      <c r="CC80" s="26">
        <f t="shared" si="133"/>
        <v>-19478551.775085978</v>
      </c>
      <c r="CD80" s="26">
        <f t="shared" si="134"/>
        <v>-21094478.33220648</v>
      </c>
      <c r="CE80" s="26">
        <f t="shared" si="135"/>
        <v>-22762389.595154773</v>
      </c>
      <c r="CF80" s="26">
        <f t="shared" si="136"/>
        <v>-24483326.935546845</v>
      </c>
      <c r="CG80" s="26">
        <f t="shared" si="137"/>
        <v>-26258242.735060107</v>
      </c>
      <c r="CH80" s="26">
        <f t="shared" si="138"/>
        <v>-28087956.269756924</v>
      </c>
      <c r="CI80" s="26">
        <f t="shared" si="139"/>
        <v>-29973099.415557545</v>
      </c>
      <c r="CJ80" s="26">
        <f t="shared" si="140"/>
        <v>-31914049.236749552</v>
      </c>
      <c r="CK80" s="26">
        <f t="shared" si="140"/>
        <v>-34342000</v>
      </c>
      <c r="CM80" s="47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50">
        <v>0</v>
      </c>
      <c r="DD80" s="14">
        <f t="shared" ref="DC80:DM80" si="175">$C$20/($C$21-$C$22*DC80)</f>
        <v>0.47951790558030016</v>
      </c>
      <c r="DE80" s="14">
        <f t="shared" si="175"/>
        <v>0.62269991964003457</v>
      </c>
      <c r="DF80" s="14">
        <f t="shared" si="175"/>
        <v>0.68365413138804965</v>
      </c>
      <c r="DG80" s="14">
        <f t="shared" si="175"/>
        <v>0.71338189544565556</v>
      </c>
      <c r="DH80" s="14">
        <f t="shared" si="175"/>
        <v>0.7288385559423749</v>
      </c>
      <c r="DI80" s="14">
        <f t="shared" si="175"/>
        <v>0.73714277157833852</v>
      </c>
      <c r="DJ80" s="14">
        <f t="shared" si="175"/>
        <v>0.74168290376483481</v>
      </c>
      <c r="DK80" s="14">
        <f t="shared" si="175"/>
        <v>0.74418883943825731</v>
      </c>
      <c r="DL80" s="14">
        <f t="shared" si="175"/>
        <v>0.74557926227188609</v>
      </c>
      <c r="DM80" s="14">
        <f t="shared" si="175"/>
        <v>0.74635298434150033</v>
      </c>
      <c r="DN80" s="14">
        <f t="shared" ref="DN80:EA80" si="176">$C$20/($C$21-$C$22*DM80)</f>
        <v>0.74678422966310576</v>
      </c>
      <c r="DO80" s="14">
        <f t="shared" si="176"/>
        <v>0.7470248069144555</v>
      </c>
      <c r="DP80" s="14">
        <f t="shared" si="176"/>
        <v>0.74715908423415356</v>
      </c>
      <c r="DQ80" s="14">
        <f t="shared" si="176"/>
        <v>0.7472340516255952</v>
      </c>
      <c r="DR80" s="14">
        <f t="shared" si="176"/>
        <v>0.74727591266789473</v>
      </c>
      <c r="DS80" s="14">
        <f t="shared" si="176"/>
        <v>0.74729928949639013</v>
      </c>
      <c r="DT80" s="14">
        <f t="shared" si="176"/>
        <v>0.74731234465992313</v>
      </c>
      <c r="DU80" s="14">
        <f t="shared" si="176"/>
        <v>0.74731963572317806</v>
      </c>
      <c r="DV80" s="14">
        <f t="shared" si="176"/>
        <v>0.74732370770676959</v>
      </c>
      <c r="DW80" s="14">
        <f t="shared" si="176"/>
        <v>0.74732598188689847</v>
      </c>
      <c r="DX80" s="14">
        <f t="shared" si="176"/>
        <v>0.74732725200984262</v>
      </c>
      <c r="DY80" s="14">
        <f t="shared" si="176"/>
        <v>0.74732796137166757</v>
      </c>
      <c r="DZ80" s="14">
        <f t="shared" si="176"/>
        <v>0.74732835754980542</v>
      </c>
      <c r="EA80" s="14">
        <f t="shared" si="176"/>
        <v>0.74732857881523174</v>
      </c>
      <c r="EB80" s="14">
        <f t="shared" ref="EB80" si="177">$C$20/($C$21-$C$22*EA80)</f>
        <v>0.74732870239199378</v>
      </c>
      <c r="ED80" s="47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14">
        <f t="shared" si="102"/>
        <v>8.7058749328862324E-3</v>
      </c>
      <c r="EU80" s="14">
        <f t="shared" si="103"/>
        <v>0.11738976103455417</v>
      </c>
      <c r="EV80" s="14">
        <f t="shared" si="104"/>
        <v>0.353699006637679</v>
      </c>
      <c r="EW80" s="14">
        <f t="shared" si="105"/>
        <v>0.69507377201132126</v>
      </c>
      <c r="EX80" s="14">
        <f t="shared" si="106"/>
        <v>1.1199586016673957</v>
      </c>
      <c r="EY80" s="14">
        <f t="shared" si="107"/>
        <v>1.6092832507835311</v>
      </c>
      <c r="EZ80" s="14">
        <f t="shared" si="108"/>
        <v>2.1480700200167022</v>
      </c>
      <c r="FA80" s="14">
        <f t="shared" si="109"/>
        <v>2.7260720728304815</v>
      </c>
      <c r="FB80" s="14">
        <f t="shared" si="110"/>
        <v>3.3376382346112754</v>
      </c>
      <c r="FC80" s="14">
        <f t="shared" si="111"/>
        <v>3.9811606261099413</v>
      </c>
      <c r="FD80" s="14">
        <f t="shared" si="112"/>
        <v>4.6583967588526045</v>
      </c>
      <c r="FE80" s="14">
        <f t="shared" si="144"/>
        <v>5.487567292754405</v>
      </c>
      <c r="FF80" s="14">
        <f t="shared" si="145"/>
        <v>6.3553189857114774</v>
      </c>
      <c r="FG80" s="14">
        <f t="shared" si="146"/>
        <v>7.2598990064995297</v>
      </c>
      <c r="FH80" s="14">
        <f t="shared" si="147"/>
        <v>8.2003267155030848</v>
      </c>
      <c r="FI80" s="14">
        <f t="shared" si="148"/>
        <v>9.1761704603090326</v>
      </c>
      <c r="FJ80" s="14">
        <f t="shared" si="149"/>
        <v>10.187384893524953</v>
      </c>
      <c r="FK80" s="14">
        <f t="shared" si="150"/>
        <v>11.234193863275305</v>
      </c>
      <c r="FL80" s="14">
        <f t="shared" si="151"/>
        <v>12.317005770769105</v>
      </c>
      <c r="FM80" s="14">
        <f t="shared" si="152"/>
        <v>13.436350964864072</v>
      </c>
      <c r="FN80" s="14">
        <f t="shared" si="153"/>
        <v>14.592833267835186</v>
      </c>
      <c r="FO80" s="14">
        <f t="shared" si="154"/>
        <v>15.787089742750746</v>
      </c>
      <c r="FP80" s="14">
        <f t="shared" si="155"/>
        <v>17.019754264629036</v>
      </c>
      <c r="FQ80" s="14">
        <f t="shared" si="156"/>
        <v>18.291421407676975</v>
      </c>
      <c r="FR80" s="14">
        <f t="shared" si="157"/>
        <v>19.602607701512568</v>
      </c>
      <c r="FS80" s="14">
        <f t="shared" si="158"/>
        <v>21.033860605315926</v>
      </c>
    </row>
    <row r="81" spans="5:175" x14ac:dyDescent="0.25">
      <c r="E81" s="46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51">
        <f t="shared" si="126"/>
        <v>7.1470262634156815E-3</v>
      </c>
      <c r="V81" s="51">
        <f t="shared" si="126"/>
        <v>2.7476212453894142</v>
      </c>
      <c r="W81" s="51">
        <f t="shared" si="126"/>
        <v>5.4866609903329984</v>
      </c>
      <c r="X81" s="51">
        <f t="shared" si="126"/>
        <v>8.2397981522811268</v>
      </c>
      <c r="Y81" s="51">
        <f t="shared" si="126"/>
        <v>11.025262392548825</v>
      </c>
      <c r="Z81" s="51">
        <f t="shared" si="126"/>
        <v>13.863955473895224</v>
      </c>
      <c r="AA81" s="51">
        <f t="shared" si="126"/>
        <v>16.779380405887657</v>
      </c>
      <c r="AB81" s="51">
        <f t="shared" si="126"/>
        <v>19.797522490692788</v>
      </c>
      <c r="AC81" s="51">
        <f t="shared" si="126"/>
        <v>22.946673229139069</v>
      </c>
      <c r="AD81" s="51">
        <f t="shared" si="126"/>
        <v>26.257181045498616</v>
      </c>
      <c r="AE81" s="51">
        <f t="shared" si="126"/>
        <v>29.761104474531582</v>
      </c>
      <c r="AF81" s="51">
        <f t="shared" si="126"/>
        <v>33.49173328478723</v>
      </c>
      <c r="AG81" s="51">
        <f t="shared" si="126"/>
        <v>37.358757779323973</v>
      </c>
      <c r="AH81" s="14">
        <f t="shared" si="126"/>
        <v>41.362429569602668</v>
      </c>
      <c r="AI81" s="14">
        <f t="shared" si="126"/>
        <v>45.503280535533108</v>
      </c>
      <c r="AJ81" s="14">
        <f t="shared" si="126"/>
        <v>49.78196782594577</v>
      </c>
      <c r="AK81" s="14">
        <f t="shared" si="126"/>
        <v>54.199113958815403</v>
      </c>
      <c r="AL81" s="14">
        <f t="shared" si="126"/>
        <v>58.755135332528944</v>
      </c>
      <c r="AM81" s="14">
        <f t="shared" si="126"/>
        <v>63.450051757602225</v>
      </c>
      <c r="AN81" s="14">
        <f t="shared" si="126"/>
        <v>68.283268632388769</v>
      </c>
      <c r="AO81" s="14">
        <f t="shared" si="126"/>
        <v>73.253322067293283</v>
      </c>
      <c r="AP81" s="14">
        <f t="shared" si="126"/>
        <v>78.357575549531532</v>
      </c>
      <c r="AQ81" s="14">
        <f t="shared" si="126"/>
        <v>83.591854560694557</v>
      </c>
      <c r="AR81" s="14">
        <f t="shared" si="126"/>
        <v>88.950002822011342</v>
      </c>
      <c r="AS81" s="14">
        <f t="shared" si="159"/>
        <v>94.423340437467402</v>
      </c>
      <c r="AT81" s="14">
        <v>100</v>
      </c>
      <c r="AV81" s="47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6">
        <f t="shared" si="90"/>
        <v>-59916.522917244292</v>
      </c>
      <c r="BM81" s="26">
        <f t="shared" si="91"/>
        <v>-949354.67430493888</v>
      </c>
      <c r="BN81" s="26">
        <f t="shared" si="92"/>
        <v>-1827557.5009418945</v>
      </c>
      <c r="BO81" s="26">
        <f t="shared" si="93"/>
        <v>-2699756.6266117026</v>
      </c>
      <c r="BP81" s="26">
        <f t="shared" si="94"/>
        <v>-3572315.6697127456</v>
      </c>
      <c r="BQ81" s="26">
        <f t="shared" si="95"/>
        <v>-4452697.5492480323</v>
      </c>
      <c r="BR81" s="26">
        <f t="shared" si="96"/>
        <v>-5349451.8646829026</v>
      </c>
      <c r="BS81" s="26">
        <f t="shared" si="97"/>
        <v>-6272210.3861162877</v>
      </c>
      <c r="BT81" s="26">
        <f t="shared" si="98"/>
        <v>-7231691.0671396181</v>
      </c>
      <c r="BU81" s="26">
        <f t="shared" si="99"/>
        <v>-8239710.351697986</v>
      </c>
      <c r="BV81" s="26">
        <f t="shared" si="100"/>
        <v>-9309202.866128454</v>
      </c>
      <c r="BW81" s="26">
        <f t="shared" si="127"/>
        <v>-10953420.393851636</v>
      </c>
      <c r="BX81" s="26">
        <f t="shared" si="128"/>
        <v>-12280422.467692804</v>
      </c>
      <c r="BY81" s="26">
        <f t="shared" si="129"/>
        <v>-13653225.276672911</v>
      </c>
      <c r="BZ81" s="26">
        <f t="shared" si="130"/>
        <v>-15072634.577094242</v>
      </c>
      <c r="CA81" s="26">
        <f t="shared" si="131"/>
        <v>-16539518.844109302</v>
      </c>
      <c r="CB81" s="26">
        <f t="shared" si="132"/>
        <v>-18054781.247543845</v>
      </c>
      <c r="CC81" s="26">
        <f t="shared" si="133"/>
        <v>-19619330.469430935</v>
      </c>
      <c r="CD81" s="26">
        <f t="shared" si="134"/>
        <v>-21234048.966748443</v>
      </c>
      <c r="CE81" s="26">
        <f t="shared" si="135"/>
        <v>-22899757.142060649</v>
      </c>
      <c r="CF81" s="26">
        <f t="shared" si="136"/>
        <v>-24617171.674068313</v>
      </c>
      <c r="CG81" s="26">
        <f t="shared" si="137"/>
        <v>-26386855.96894253</v>
      </c>
      <c r="CH81" s="26">
        <f t="shared" si="138"/>
        <v>-28209160.307615526</v>
      </c>
      <c r="CI81" s="26">
        <f t="shared" si="139"/>
        <v>-30084148.765495263</v>
      </c>
      <c r="CJ81" s="26">
        <f t="shared" si="140"/>
        <v>-32011509.345787339</v>
      </c>
      <c r="CK81" s="26">
        <f t="shared" si="140"/>
        <v>-34342000</v>
      </c>
      <c r="CM81" s="47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50">
        <v>0</v>
      </c>
      <c r="DD81" s="14">
        <f t="shared" ref="DC81:DM81" si="178">$C$20/($C$21-$C$22*DC81)</f>
        <v>0.47951790558030016</v>
      </c>
      <c r="DE81" s="14">
        <f t="shared" si="178"/>
        <v>0.62269991964003457</v>
      </c>
      <c r="DF81" s="14">
        <f t="shared" si="178"/>
        <v>0.68365413138804965</v>
      </c>
      <c r="DG81" s="14">
        <f t="shared" si="178"/>
        <v>0.71338189544565556</v>
      </c>
      <c r="DH81" s="14">
        <f t="shared" si="178"/>
        <v>0.7288385559423749</v>
      </c>
      <c r="DI81" s="14">
        <f t="shared" si="178"/>
        <v>0.73714277157833852</v>
      </c>
      <c r="DJ81" s="14">
        <f t="shared" si="178"/>
        <v>0.74168290376483481</v>
      </c>
      <c r="DK81" s="14">
        <f t="shared" si="178"/>
        <v>0.74418883943825731</v>
      </c>
      <c r="DL81" s="14">
        <f t="shared" si="178"/>
        <v>0.74557926227188609</v>
      </c>
      <c r="DM81" s="14">
        <f t="shared" si="178"/>
        <v>0.74635298434150033</v>
      </c>
      <c r="DN81" s="14">
        <f t="shared" ref="DN81:EA81" si="179">$C$20/($C$21-$C$22*DM81)</f>
        <v>0.74678422966310576</v>
      </c>
      <c r="DO81" s="14">
        <f t="shared" si="179"/>
        <v>0.7470248069144555</v>
      </c>
      <c r="DP81" s="14">
        <f t="shared" si="179"/>
        <v>0.74715908423415356</v>
      </c>
      <c r="DQ81" s="14">
        <f t="shared" si="179"/>
        <v>0.7472340516255952</v>
      </c>
      <c r="DR81" s="14">
        <f t="shared" si="179"/>
        <v>0.74727591266789473</v>
      </c>
      <c r="DS81" s="14">
        <f t="shared" si="179"/>
        <v>0.74729928949639013</v>
      </c>
      <c r="DT81" s="14">
        <f t="shared" si="179"/>
        <v>0.74731234465992313</v>
      </c>
      <c r="DU81" s="14">
        <f t="shared" si="179"/>
        <v>0.74731963572317806</v>
      </c>
      <c r="DV81" s="14">
        <f t="shared" si="179"/>
        <v>0.74732370770676959</v>
      </c>
      <c r="DW81" s="14">
        <f t="shared" si="179"/>
        <v>0.74732598188689847</v>
      </c>
      <c r="DX81" s="14">
        <f t="shared" si="179"/>
        <v>0.74732725200984262</v>
      </c>
      <c r="DY81" s="14">
        <f t="shared" si="179"/>
        <v>0.74732796137166757</v>
      </c>
      <c r="DZ81" s="14">
        <f t="shared" si="179"/>
        <v>0.74732835754980542</v>
      </c>
      <c r="EA81" s="14">
        <f t="shared" si="179"/>
        <v>0.74732857881523174</v>
      </c>
      <c r="EB81" s="14">
        <f t="shared" ref="EB81" si="180">$C$20/($C$21-$C$22*EA81)</f>
        <v>0.74732870239199378</v>
      </c>
      <c r="ED81" s="47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14">
        <f t="shared" si="102"/>
        <v>7.1470262634156815E-3</v>
      </c>
      <c r="EU81" s="14">
        <f t="shared" si="103"/>
        <v>0.11666905867579935</v>
      </c>
      <c r="EV81" s="14">
        <f t="shared" si="104"/>
        <v>0.35573934305743604</v>
      </c>
      <c r="EW81" s="14">
        <f t="shared" si="105"/>
        <v>0.70233196797782882</v>
      </c>
      <c r="EX81" s="14">
        <f t="shared" si="106"/>
        <v>1.1349675582072789</v>
      </c>
      <c r="EY81" s="14">
        <f t="shared" si="107"/>
        <v>1.6344960892602829</v>
      </c>
      <c r="EZ81" s="14">
        <f t="shared" si="108"/>
        <v>2.1857798067138834</v>
      </c>
      <c r="FA81" s="14">
        <f t="shared" si="109"/>
        <v>2.7783672583621231</v>
      </c>
      <c r="FB81" s="14">
        <f t="shared" si="110"/>
        <v>3.4063721399692457</v>
      </c>
      <c r="FC81" s="14">
        <f t="shared" si="111"/>
        <v>4.0679187269808326</v>
      </c>
      <c r="FD81" s="14">
        <f t="shared" si="112"/>
        <v>4.7644493866610746</v>
      </c>
      <c r="FE81" s="14">
        <f t="shared" si="144"/>
        <v>5.5928021353842201</v>
      </c>
      <c r="FF81" s="14">
        <f t="shared" si="145"/>
        <v>6.4599968165787782</v>
      </c>
      <c r="FG81" s="14">
        <f t="shared" si="146"/>
        <v>7.3642401550239631</v>
      </c>
      <c r="FH81" s="14">
        <f t="shared" si="147"/>
        <v>8.3044990190566281</v>
      </c>
      <c r="FI81" s="14">
        <f t="shared" si="148"/>
        <v>9.2802754765807567</v>
      </c>
      <c r="FJ81" s="14">
        <f t="shared" si="149"/>
        <v>10.291443070552274</v>
      </c>
      <c r="FK81" s="14">
        <f t="shared" si="150"/>
        <v>11.338128384761747</v>
      </c>
      <c r="FL81" s="14">
        <f t="shared" si="151"/>
        <v>12.420624317257543</v>
      </c>
      <c r="FM81" s="14">
        <f t="shared" si="152"/>
        <v>13.539324383221031</v>
      </c>
      <c r="FN81" s="14">
        <f t="shared" si="153"/>
        <v>14.694669981462809</v>
      </c>
      <c r="FO81" s="14">
        <f t="shared" si="154"/>
        <v>15.887104590281243</v>
      </c>
      <c r="FP81" s="14">
        <f t="shared" si="155"/>
        <v>17.117030287716744</v>
      </c>
      <c r="FQ81" s="14">
        <f t="shared" si="156"/>
        <v>18.384762898512708</v>
      </c>
      <c r="FR81" s="14">
        <f t="shared" si="157"/>
        <v>19.690482555944222</v>
      </c>
      <c r="FS81" s="14">
        <f t="shared" si="158"/>
        <v>21.09953200625122</v>
      </c>
    </row>
    <row r="82" spans="5:175" x14ac:dyDescent="0.25">
      <c r="E82" s="46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51">
        <f t="shared" si="126"/>
        <v>6.1737218609345468E-3</v>
      </c>
      <c r="V82" s="51">
        <f t="shared" si="126"/>
        <v>2.7731075718262304</v>
      </c>
      <c r="W82" s="51">
        <f t="shared" si="126"/>
        <v>5.5406057700017399</v>
      </c>
      <c r="X82" s="51">
        <f t="shared" si="126"/>
        <v>8.3240167855536544</v>
      </c>
      <c r="Y82" s="51">
        <f t="shared" si="126"/>
        <v>11.141134700617691</v>
      </c>
      <c r="Z82" s="51">
        <f t="shared" si="126"/>
        <v>14.012146441157995</v>
      </c>
      <c r="AA82" s="51">
        <f t="shared" si="126"/>
        <v>16.95952049073545</v>
      </c>
      <c r="AB82" s="51">
        <f t="shared" si="126"/>
        <v>20.00783172698026</v>
      </c>
      <c r="AC82" s="51">
        <f t="shared" si="126"/>
        <v>23.18351064183247</v>
      </c>
      <c r="AD82" s="51">
        <f t="shared" si="126"/>
        <v>26.514497884908266</v>
      </c>
      <c r="AE82" s="51">
        <f t="shared" si="126"/>
        <v>30.029776404845101</v>
      </c>
      <c r="AF82" s="51">
        <f t="shared" si="126"/>
        <v>33.75874296610921</v>
      </c>
      <c r="AG82" s="51">
        <f t="shared" si="126"/>
        <v>37.623702562957085</v>
      </c>
      <c r="AH82" s="14">
        <f t="shared" si="126"/>
        <v>41.624725138789501</v>
      </c>
      <c r="AI82" s="14">
        <f t="shared" si="126"/>
        <v>45.762080482174589</v>
      </c>
      <c r="AJ82" s="14">
        <f t="shared" si="126"/>
        <v>50.03608654546521</v>
      </c>
      <c r="AK82" s="14">
        <f t="shared" si="126"/>
        <v>54.4469481277754</v>
      </c>
      <c r="AL82" s="14">
        <f t="shared" si="126"/>
        <v>58.994580072494564</v>
      </c>
      <c r="AM82" s="14">
        <f t="shared" si="126"/>
        <v>63.678408251855053</v>
      </c>
      <c r="AN82" s="14">
        <f t="shared" si="126"/>
        <v>68.497140535942449</v>
      </c>
      <c r="AO82" s="14">
        <f t="shared" si="126"/>
        <v>73.448498622358827</v>
      </c>
      <c r="AP82" s="14">
        <f t="shared" si="126"/>
        <v>78.528899983540398</v>
      </c>
      <c r="AQ82" s="14">
        <f t="shared" si="126"/>
        <v>83.73307721453935</v>
      </c>
      <c r="AR82" s="14">
        <f t="shared" si="126"/>
        <v>89.053619671764849</v>
      </c>
      <c r="AS82" s="14">
        <f t="shared" si="159"/>
        <v>94.480419412632884</v>
      </c>
      <c r="AT82" s="14">
        <v>100</v>
      </c>
      <c r="AV82" s="47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6">
        <f t="shared" si="90"/>
        <v>-51756.903323395898</v>
      </c>
      <c r="BM82" s="26">
        <f t="shared" si="91"/>
        <v>-950071.9225115031</v>
      </c>
      <c r="BN82" s="26">
        <f t="shared" si="92"/>
        <v>-1838785.3076808504</v>
      </c>
      <c r="BO82" s="26">
        <f t="shared" si="93"/>
        <v>-2723132.1084561045</v>
      </c>
      <c r="BP82" s="26">
        <f t="shared" si="94"/>
        <v>-3609435.3004715396</v>
      </c>
      <c r="BQ82" s="26">
        <f t="shared" si="95"/>
        <v>-4505074.8484931272</v>
      </c>
      <c r="BR82" s="26">
        <f t="shared" si="96"/>
        <v>-5418471.0365256071</v>
      </c>
      <c r="BS82" s="26">
        <f t="shared" si="97"/>
        <v>-6359071.5036778003</v>
      </c>
      <c r="BT82" s="26">
        <f t="shared" si="98"/>
        <v>-7337341.7451593112</v>
      </c>
      <c r="BU82" s="26">
        <f t="shared" si="99"/>
        <v>-8364757.9306538049</v>
      </c>
      <c r="BV82" s="26">
        <f t="shared" si="100"/>
        <v>-9453799.8868162595</v>
      </c>
      <c r="BW82" s="26">
        <f t="shared" si="127"/>
        <v>-11046735.506374471</v>
      </c>
      <c r="BX82" s="26">
        <f t="shared" si="128"/>
        <v>-12373758.758652879</v>
      </c>
      <c r="BY82" s="26">
        <f t="shared" si="129"/>
        <v>-13746705.381601354</v>
      </c>
      <c r="BZ82" s="26">
        <f t="shared" si="130"/>
        <v>-15166277.785168162</v>
      </c>
      <c r="CA82" s="26">
        <f t="shared" si="131"/>
        <v>-16633233.654985037</v>
      </c>
      <c r="CB82" s="26">
        <f t="shared" si="132"/>
        <v>-18148354.069156505</v>
      </c>
      <c r="CC82" s="26">
        <f t="shared" si="133"/>
        <v>-19712409.82523793</v>
      </c>
      <c r="CD82" s="26">
        <f t="shared" si="134"/>
        <v>-21326124.460849874</v>
      </c>
      <c r="CE82" s="26">
        <f t="shared" si="135"/>
        <v>-22990132.277490806</v>
      </c>
      <c r="CF82" s="26">
        <f t="shared" si="136"/>
        <v>-24704929.432334438</v>
      </c>
      <c r="CG82" s="26">
        <f t="shared" si="137"/>
        <v>-26470815.83568161</v>
      </c>
      <c r="CH82" s="26">
        <f t="shared" si="138"/>
        <v>-28287825.167586304</v>
      </c>
      <c r="CI82" s="26">
        <f t="shared" si="139"/>
        <v>-30155639.78743447</v>
      </c>
      <c r="CJ82" s="26">
        <f t="shared" si="140"/>
        <v>-32073486.631760098</v>
      </c>
      <c r="CK82" s="26">
        <f t="shared" si="140"/>
        <v>-34342000</v>
      </c>
      <c r="CM82" s="47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50">
        <v>0</v>
      </c>
      <c r="DD82" s="14">
        <f t="shared" ref="DC82:DM82" si="181">$C$20/($C$21-$C$22*DC82)</f>
        <v>0.47951790558030016</v>
      </c>
      <c r="DE82" s="14">
        <f t="shared" si="181"/>
        <v>0.62269991964003457</v>
      </c>
      <c r="DF82" s="14">
        <f t="shared" si="181"/>
        <v>0.68365413138804965</v>
      </c>
      <c r="DG82" s="14">
        <f t="shared" si="181"/>
        <v>0.71338189544565556</v>
      </c>
      <c r="DH82" s="14">
        <f t="shared" si="181"/>
        <v>0.7288385559423749</v>
      </c>
      <c r="DI82" s="14">
        <f t="shared" si="181"/>
        <v>0.73714277157833852</v>
      </c>
      <c r="DJ82" s="14">
        <f t="shared" si="181"/>
        <v>0.74168290376483481</v>
      </c>
      <c r="DK82" s="14">
        <f t="shared" si="181"/>
        <v>0.74418883943825731</v>
      </c>
      <c r="DL82" s="14">
        <f t="shared" si="181"/>
        <v>0.74557926227188609</v>
      </c>
      <c r="DM82" s="14">
        <f t="shared" si="181"/>
        <v>0.74635298434150033</v>
      </c>
      <c r="DN82" s="14">
        <f t="shared" ref="DN82:EA82" si="182">$C$20/($C$21-$C$22*DM82)</f>
        <v>0.74678422966310576</v>
      </c>
      <c r="DO82" s="14">
        <f t="shared" si="182"/>
        <v>0.7470248069144555</v>
      </c>
      <c r="DP82" s="14">
        <f t="shared" si="182"/>
        <v>0.74715908423415356</v>
      </c>
      <c r="DQ82" s="14">
        <f t="shared" si="182"/>
        <v>0.7472340516255952</v>
      </c>
      <c r="DR82" s="14">
        <f t="shared" si="182"/>
        <v>0.74727591266789473</v>
      </c>
      <c r="DS82" s="14">
        <f t="shared" si="182"/>
        <v>0.74729928949639013</v>
      </c>
      <c r="DT82" s="14">
        <f t="shared" si="182"/>
        <v>0.74731234465992313</v>
      </c>
      <c r="DU82" s="14">
        <f t="shared" si="182"/>
        <v>0.74731963572317806</v>
      </c>
      <c r="DV82" s="14">
        <f t="shared" si="182"/>
        <v>0.74732370770676959</v>
      </c>
      <c r="DW82" s="14">
        <f t="shared" si="182"/>
        <v>0.74732598188689847</v>
      </c>
      <c r="DX82" s="14">
        <f t="shared" si="182"/>
        <v>0.74732725200984262</v>
      </c>
      <c r="DY82" s="14">
        <f t="shared" si="182"/>
        <v>0.74732796137166757</v>
      </c>
      <c r="DZ82" s="14">
        <f t="shared" si="182"/>
        <v>0.74732835754980542</v>
      </c>
      <c r="EA82" s="14">
        <f t="shared" si="182"/>
        <v>0.74732857881523174</v>
      </c>
      <c r="EB82" s="14">
        <f t="shared" ref="EB82" si="183">$C$20/($C$21-$C$22*EA82)</f>
        <v>0.74732870239199378</v>
      </c>
      <c r="ED82" s="47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14">
        <f t="shared" si="102"/>
        <v>6.1737218609345468E-3</v>
      </c>
      <c r="EU82" s="14">
        <f t="shared" si="103"/>
        <v>0.11628789734886956</v>
      </c>
      <c r="EV82" s="14">
        <f t="shared" si="104"/>
        <v>0.35724118655518045</v>
      </c>
      <c r="EW82" s="14">
        <f t="shared" si="105"/>
        <v>0.70733401912560867</v>
      </c>
      <c r="EX82" s="14">
        <f t="shared" si="106"/>
        <v>1.1451231131623052</v>
      </c>
      <c r="EY82" s="14">
        <f t="shared" si="107"/>
        <v>1.6513940172152535</v>
      </c>
      <c r="EZ82" s="14">
        <f t="shared" si="108"/>
        <v>2.210891958236207</v>
      </c>
      <c r="FA82" s="14">
        <f t="shared" si="109"/>
        <v>2.8130182346830028</v>
      </c>
      <c r="FB82" s="14">
        <f t="shared" si="110"/>
        <v>3.4517172325744605</v>
      </c>
      <c r="FC82" s="14">
        <f t="shared" si="111"/>
        <v>4.1249193467941652</v>
      </c>
      <c r="FD82" s="14">
        <f t="shared" si="112"/>
        <v>4.8338378444718595</v>
      </c>
      <c r="FE82" s="14">
        <f t="shared" si="144"/>
        <v>5.6619552305574841</v>
      </c>
      <c r="FF82" s="14">
        <f t="shared" si="145"/>
        <v>6.5290003032855752</v>
      </c>
      <c r="FG82" s="14">
        <f t="shared" si="146"/>
        <v>7.433170993078301</v>
      </c>
      <c r="FH82" s="14">
        <f t="shared" si="147"/>
        <v>8.3734128053176935</v>
      </c>
      <c r="FI82" s="14">
        <f t="shared" si="148"/>
        <v>9.3491936913003322</v>
      </c>
      <c r="FJ82" s="14">
        <f t="shared" si="149"/>
        <v>10.360340355462318</v>
      </c>
      <c r="FK82" s="14">
        <f t="shared" si="150"/>
        <v>11.406919497588964</v>
      </c>
      <c r="FL82" s="14">
        <f t="shared" si="151"/>
        <v>12.489150138455207</v>
      </c>
      <c r="FM82" s="14">
        <f t="shared" si="152"/>
        <v>13.607336219985692</v>
      </c>
      <c r="FN82" s="14">
        <f t="shared" si="153"/>
        <v>14.761811335661454</v>
      </c>
      <c r="FO82" s="14">
        <f t="shared" si="154"/>
        <v>15.952889486470744</v>
      </c>
      <c r="FP82" s="14">
        <f t="shared" si="155"/>
        <v>17.180817172471496</v>
      </c>
      <c r="FQ82" s="14">
        <f t="shared" si="156"/>
        <v>18.445723011505166</v>
      </c>
      <c r="FR82" s="14">
        <f t="shared" si="157"/>
        <v>19.747561531109714</v>
      </c>
      <c r="FS82" s="14">
        <f t="shared" si="158"/>
        <v>21.142188762695511</v>
      </c>
    </row>
    <row r="83" spans="5:175" x14ac:dyDescent="0.25">
      <c r="E83" s="46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51">
        <f t="shared" si="126"/>
        <v>5.7062204747599194E-3</v>
      </c>
      <c r="V83" s="51">
        <f t="shared" si="126"/>
        <v>2.7858675508657114</v>
      </c>
      <c r="W83" s="51">
        <f t="shared" si="126"/>
        <v>5.5675530782871574</v>
      </c>
      <c r="X83" s="51">
        <f t="shared" si="126"/>
        <v>8.3660198851784973</v>
      </c>
      <c r="Y83" s="51">
        <f t="shared" si="126"/>
        <v>11.198846538362858</v>
      </c>
      <c r="Z83" s="51">
        <f t="shared" si="126"/>
        <v>14.085867511079382</v>
      </c>
      <c r="AA83" s="51">
        <f t="shared" si="126"/>
        <v>17.049042915906899</v>
      </c>
      <c r="AB83" s="51">
        <f t="shared" si="126"/>
        <v>20.112257116370671</v>
      </c>
      <c r="AC83" s="51">
        <f t="shared" si="126"/>
        <v>23.301033338190674</v>
      </c>
      <c r="AD83" s="51">
        <f t="shared" si="126"/>
        <v>26.642143995806947</v>
      </c>
      <c r="AE83" s="51">
        <f t="shared" si="126"/>
        <v>30.163087711067497</v>
      </c>
      <c r="AF83" s="51">
        <f t="shared" si="126"/>
        <v>33.891393471448282</v>
      </c>
      <c r="AG83" s="51">
        <f t="shared" si="126"/>
        <v>37.755429195845892</v>
      </c>
      <c r="AH83" s="14">
        <f t="shared" si="126"/>
        <v>41.755186610061244</v>
      </c>
      <c r="AI83" s="14">
        <f t="shared" si="126"/>
        <v>45.890814695453308</v>
      </c>
      <c r="AJ83" s="14">
        <f t="shared" si="126"/>
        <v>50.162470437487272</v>
      </c>
      <c r="AK83" s="14">
        <f t="shared" si="126"/>
        <v>54.570157536268212</v>
      </c>
      <c r="AL83" s="14">
        <f t="shared" si="126"/>
        <v>59.113547691813956</v>
      </c>
      <c r="AM83" s="14">
        <f t="shared" si="126"/>
        <v>63.791778115563268</v>
      </c>
      <c r="AN83" s="14">
        <f t="shared" si="126"/>
        <v>68.603217806263004</v>
      </c>
      <c r="AO83" s="14">
        <f t="shared" si="126"/>
        <v>73.545193815157191</v>
      </c>
      <c r="AP83" s="14">
        <f t="shared" si="126"/>
        <v>78.613667165051524</v>
      </c>
      <c r="AQ83" s="14">
        <f t="shared" si="126"/>
        <v>83.802846232511513</v>
      </c>
      <c r="AR83" s="14">
        <f t="shared" si="126"/>
        <v>89.104723203355263</v>
      </c>
      <c r="AS83" s="14">
        <f t="shared" si="159"/>
        <v>94.508516619341066</v>
      </c>
      <c r="AT83" s="14">
        <v>100</v>
      </c>
      <c r="AV83" s="47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6">
        <f t="shared" si="90"/>
        <v>-47837.642852511803</v>
      </c>
      <c r="BM83" s="26">
        <f t="shared" si="91"/>
        <v>-950595.36225571518</v>
      </c>
      <c r="BN83" s="26">
        <f t="shared" si="92"/>
        <v>-1844548.3346764012</v>
      </c>
      <c r="BO83" s="26">
        <f t="shared" si="93"/>
        <v>-2734931.9668700541</v>
      </c>
      <c r="BP83" s="26">
        <f t="shared" si="94"/>
        <v>-3628046.7136852755</v>
      </c>
      <c r="BQ83" s="26">
        <f t="shared" si="95"/>
        <v>-4531227.8035686854</v>
      </c>
      <c r="BR83" s="26">
        <f t="shared" si="96"/>
        <v>-5452826.3597230092</v>
      </c>
      <c r="BS83" s="26">
        <f t="shared" si="97"/>
        <v>-6402192.0130519588</v>
      </c>
      <c r="BT83" s="26">
        <f t="shared" si="98"/>
        <v>-7389656.4371004626</v>
      </c>
      <c r="BU83" s="26">
        <f t="shared" si="99"/>
        <v>-8426516.1993100047</v>
      </c>
      <c r="BV83" s="26">
        <f t="shared" si="100"/>
        <v>-9525012.1603514496</v>
      </c>
      <c r="BW83" s="26">
        <f t="shared" si="127"/>
        <v>-11093347.890617128</v>
      </c>
      <c r="BX83" s="26">
        <f t="shared" si="128"/>
        <v>-12420368.301370088</v>
      </c>
      <c r="BY83" s="26">
        <f t="shared" si="129"/>
        <v>-13793366.087496862</v>
      </c>
      <c r="BZ83" s="26">
        <f t="shared" si="130"/>
        <v>-15212992.403012123</v>
      </c>
      <c r="CA83" s="26">
        <f t="shared" si="131"/>
        <v>-16679949.54351908</v>
      </c>
      <c r="CB83" s="26">
        <f t="shared" si="132"/>
        <v>-18194957.212910678</v>
      </c>
      <c r="CC83" s="26">
        <f t="shared" si="133"/>
        <v>-19758716.670144401</v>
      </c>
      <c r="CD83" s="26">
        <f t="shared" si="134"/>
        <v>-21371871.187305994</v>
      </c>
      <c r="CE83" s="26">
        <f t="shared" si="135"/>
        <v>-23034961.059885141</v>
      </c>
      <c r="CF83" s="26">
        <f t="shared" si="136"/>
        <v>-24748371.149180707</v>
      </c>
      <c r="CG83" s="26">
        <f t="shared" si="137"/>
        <v>-26512268.593208008</v>
      </c>
      <c r="CH83" s="26">
        <f t="shared" si="138"/>
        <v>-28326527.881566357</v>
      </c>
      <c r="CI83" s="26">
        <f t="shared" si="139"/>
        <v>-30190639.933025159</v>
      </c>
      <c r="CJ83" s="26">
        <f t="shared" si="140"/>
        <v>-32103601.119428139</v>
      </c>
      <c r="CK83" s="26">
        <f t="shared" si="140"/>
        <v>-34342000</v>
      </c>
      <c r="CM83" s="47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50">
        <v>0</v>
      </c>
      <c r="DD83" s="14">
        <f t="shared" ref="DC83:DM83" si="184">$C$20/($C$21-$C$22*DC83)</f>
        <v>0.47951790558030016</v>
      </c>
      <c r="DE83" s="14">
        <f t="shared" si="184"/>
        <v>0.62269991964003457</v>
      </c>
      <c r="DF83" s="14">
        <f t="shared" si="184"/>
        <v>0.68365413138804965</v>
      </c>
      <c r="DG83" s="14">
        <f t="shared" si="184"/>
        <v>0.71338189544565556</v>
      </c>
      <c r="DH83" s="14">
        <f t="shared" si="184"/>
        <v>0.7288385559423749</v>
      </c>
      <c r="DI83" s="14">
        <f t="shared" si="184"/>
        <v>0.73714277157833852</v>
      </c>
      <c r="DJ83" s="14">
        <f t="shared" si="184"/>
        <v>0.74168290376483481</v>
      </c>
      <c r="DK83" s="14">
        <f t="shared" si="184"/>
        <v>0.74418883943825731</v>
      </c>
      <c r="DL83" s="14">
        <f t="shared" si="184"/>
        <v>0.74557926227188609</v>
      </c>
      <c r="DM83" s="14">
        <f t="shared" si="184"/>
        <v>0.74635298434150033</v>
      </c>
      <c r="DN83" s="14">
        <f t="shared" ref="DN83:EA83" si="185">$C$20/($C$21-$C$22*DM83)</f>
        <v>0.74678422966310576</v>
      </c>
      <c r="DO83" s="14">
        <f t="shared" si="185"/>
        <v>0.7470248069144555</v>
      </c>
      <c r="DP83" s="14">
        <f t="shared" si="185"/>
        <v>0.74715908423415356</v>
      </c>
      <c r="DQ83" s="14">
        <f t="shared" si="185"/>
        <v>0.7472340516255952</v>
      </c>
      <c r="DR83" s="14">
        <f t="shared" si="185"/>
        <v>0.74727591266789473</v>
      </c>
      <c r="DS83" s="14">
        <f t="shared" si="185"/>
        <v>0.74729928949639013</v>
      </c>
      <c r="DT83" s="14">
        <f t="shared" si="185"/>
        <v>0.74731234465992313</v>
      </c>
      <c r="DU83" s="14">
        <f t="shared" si="185"/>
        <v>0.74731963572317806</v>
      </c>
      <c r="DV83" s="14">
        <f t="shared" si="185"/>
        <v>0.74732370770676959</v>
      </c>
      <c r="DW83" s="14">
        <f t="shared" si="185"/>
        <v>0.74732598188689847</v>
      </c>
      <c r="DX83" s="14">
        <f t="shared" si="185"/>
        <v>0.74732725200984262</v>
      </c>
      <c r="DY83" s="14">
        <f t="shared" si="185"/>
        <v>0.74732796137166757</v>
      </c>
      <c r="DZ83" s="14">
        <f t="shared" si="185"/>
        <v>0.74732835754980542</v>
      </c>
      <c r="EA83" s="14">
        <f t="shared" si="185"/>
        <v>0.74732857881523174</v>
      </c>
      <c r="EB83" s="14">
        <f t="shared" ref="EB83" si="186">$C$20/($C$21-$C$22*EA83)</f>
        <v>0.74732870239199378</v>
      </c>
      <c r="ED83" s="47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14">
        <f t="shared" si="102"/>
        <v>5.7062204747599194E-3</v>
      </c>
      <c r="EU83" s="14">
        <f t="shared" si="103"/>
        <v>0.1161261595583008</v>
      </c>
      <c r="EV83" s="14">
        <f t="shared" si="104"/>
        <v>0.3580331680795758</v>
      </c>
      <c r="EW83" s="14">
        <f t="shared" si="105"/>
        <v>0.70988218244597123</v>
      </c>
      <c r="EX83" s="14">
        <f t="shared" si="106"/>
        <v>1.1502436743126701</v>
      </c>
      <c r="EY83" s="14">
        <f t="shared" si="107"/>
        <v>1.6598676920502211</v>
      </c>
      <c r="EZ83" s="14">
        <f t="shared" si="108"/>
        <v>2.2234379624492604</v>
      </c>
      <c r="FA83" s="14">
        <f t="shared" si="109"/>
        <v>2.8302790493801884</v>
      </c>
      <c r="FB83" s="14">
        <f t="shared" si="110"/>
        <v>3.4742471178041692</v>
      </c>
      <c r="FC83" s="14">
        <f t="shared" si="111"/>
        <v>4.1531713123470491</v>
      </c>
      <c r="FD83" s="14">
        <f t="shared" si="112"/>
        <v>4.8681450501600301</v>
      </c>
      <c r="FE83" s="14">
        <f t="shared" si="144"/>
        <v>5.6962343638285748</v>
      </c>
      <c r="FF83" s="14">
        <f t="shared" si="145"/>
        <v>6.5632689807878339</v>
      </c>
      <c r="FG83" s="14">
        <f t="shared" si="146"/>
        <v>7.4674475274471153</v>
      </c>
      <c r="FH83" s="14">
        <f t="shared" si="147"/>
        <v>8.4077086709005524</v>
      </c>
      <c r="FI83" s="14">
        <f t="shared" si="148"/>
        <v>9.3835061601416534</v>
      </c>
      <c r="FJ83" s="14">
        <f t="shared" si="149"/>
        <v>10.394645346564671</v>
      </c>
      <c r="FK83" s="14">
        <f t="shared" si="150"/>
        <v>11.441164418246798</v>
      </c>
      <c r="FL83" s="14">
        <f t="shared" si="151"/>
        <v>12.523246375148956</v>
      </c>
      <c r="FM83" s="14">
        <f t="shared" si="152"/>
        <v>13.641150880306759</v>
      </c>
      <c r="FN83" s="14">
        <f t="shared" si="153"/>
        <v>14.795157811305231</v>
      </c>
      <c r="FO83" s="14">
        <f t="shared" si="154"/>
        <v>15.985516379505293</v>
      </c>
      <c r="FP83" s="14">
        <f t="shared" si="155"/>
        <v>17.212395092361302</v>
      </c>
      <c r="FQ83" s="14">
        <f t="shared" si="156"/>
        <v>18.475828703754608</v>
      </c>
      <c r="FR83" s="14">
        <f t="shared" si="157"/>
        <v>19.775658737817889</v>
      </c>
      <c r="FS83" s="14">
        <f t="shared" si="158"/>
        <v>21.163186611725571</v>
      </c>
    </row>
    <row r="84" spans="5:175" x14ac:dyDescent="0.25">
      <c r="E84" s="46"/>
      <c r="F84" s="13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8"/>
      <c r="U84" s="51">
        <f t="shared" si="126"/>
        <v>5.7062204747599194E-3</v>
      </c>
      <c r="V84" s="51">
        <f t="shared" si="126"/>
        <v>2.7858675508657114</v>
      </c>
      <c r="W84" s="51">
        <f t="shared" si="126"/>
        <v>5.5675530782871574</v>
      </c>
      <c r="X84" s="51">
        <f t="shared" si="126"/>
        <v>8.3660198851784973</v>
      </c>
      <c r="Y84" s="51">
        <f t="shared" si="126"/>
        <v>11.198846538362858</v>
      </c>
      <c r="Z84" s="51">
        <f t="shared" si="126"/>
        <v>14.085867511079382</v>
      </c>
      <c r="AA84" s="51">
        <f t="shared" si="126"/>
        <v>17.049042915906899</v>
      </c>
      <c r="AB84" s="51">
        <f t="shared" si="126"/>
        <v>20.112257116370671</v>
      </c>
      <c r="AC84" s="51">
        <f t="shared" si="126"/>
        <v>23.301033338190674</v>
      </c>
      <c r="AD84" s="51">
        <f t="shared" si="126"/>
        <v>26.642143995806947</v>
      </c>
      <c r="AE84" s="51">
        <f t="shared" si="126"/>
        <v>30.163087711067497</v>
      </c>
      <c r="AF84" s="51">
        <f t="shared" si="126"/>
        <v>33.891393471448282</v>
      </c>
      <c r="AG84" s="51">
        <f t="shared" si="126"/>
        <v>37.755429195845892</v>
      </c>
      <c r="AH84" s="14">
        <f t="shared" si="126"/>
        <v>41.755186610061244</v>
      </c>
      <c r="AI84" s="14">
        <f t="shared" si="126"/>
        <v>45.890814695453308</v>
      </c>
      <c r="AJ84" s="14">
        <f t="shared" ref="AJ84" si="187">DR84*AK84+FI84</f>
        <v>50.162470437487272</v>
      </c>
      <c r="AK84" s="14">
        <f t="shared" ref="AK84" si="188">DS84*AL84+FJ84</f>
        <v>54.570157536268212</v>
      </c>
      <c r="AL84" s="14">
        <f t="shared" ref="AL84" si="189">DT84*AM84+FK84</f>
        <v>59.113547691813956</v>
      </c>
      <c r="AM84" s="14">
        <f t="shared" ref="AM84" si="190">DU84*AN84+FL84</f>
        <v>63.791778115563268</v>
      </c>
      <c r="AN84" s="14">
        <f t="shared" ref="AN84" si="191">DV84*AO84+FM84</f>
        <v>68.603217806263004</v>
      </c>
      <c r="AO84" s="14">
        <f t="shared" ref="AO84" si="192">DW84*AP84+FN84</f>
        <v>73.545193815157191</v>
      </c>
      <c r="AP84" s="14">
        <f t="shared" ref="AP84" si="193">DX84*AQ84+FO84</f>
        <v>78.613667165051524</v>
      </c>
      <c r="AQ84" s="14">
        <f t="shared" ref="AQ84" si="194">DY84*AR84+FP84</f>
        <v>83.802846232511513</v>
      </c>
      <c r="AR84" s="14">
        <f t="shared" ref="AR84" si="195">DZ84*AS84+FQ84</f>
        <v>89.104723203355263</v>
      </c>
      <c r="AS84" s="14">
        <f t="shared" si="159"/>
        <v>94.508516619341066</v>
      </c>
      <c r="AT84" s="14">
        <v>100</v>
      </c>
      <c r="AV84" s="47"/>
      <c r="AW84" s="13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6">
        <f t="shared" si="90"/>
        <v>-47837.642852511803</v>
      </c>
      <c r="BM84" s="26">
        <f t="shared" si="91"/>
        <v>-950595.36225571518</v>
      </c>
      <c r="BN84" s="26">
        <f t="shared" si="92"/>
        <v>-1844548.3346764012</v>
      </c>
      <c r="BO84" s="26">
        <f t="shared" si="93"/>
        <v>-2734931.9668700541</v>
      </c>
      <c r="BP84" s="26">
        <f t="shared" si="94"/>
        <v>-3628046.7136852755</v>
      </c>
      <c r="BQ84" s="26">
        <f t="shared" si="95"/>
        <v>-4531227.8035686854</v>
      </c>
      <c r="BR84" s="26">
        <f t="shared" si="96"/>
        <v>-5452826.3597230092</v>
      </c>
      <c r="BS84" s="26">
        <f t="shared" si="97"/>
        <v>-6402192.0130519588</v>
      </c>
      <c r="BT84" s="26">
        <f t="shared" si="98"/>
        <v>-7389656.4371004626</v>
      </c>
      <c r="BU84" s="26">
        <f t="shared" si="99"/>
        <v>-8426516.1993100047</v>
      </c>
      <c r="BV84" s="26">
        <f t="shared" si="100"/>
        <v>-9525012.1603514496</v>
      </c>
      <c r="BW84" s="26">
        <f t="shared" si="127"/>
        <v>-11093347.890617128</v>
      </c>
      <c r="BX84" s="26">
        <f t="shared" si="128"/>
        <v>-12420368.301370088</v>
      </c>
      <c r="BY84" s="26">
        <f t="shared" si="129"/>
        <v>-13793366.087496862</v>
      </c>
      <c r="BZ84" s="26">
        <f t="shared" si="130"/>
        <v>-15212992.403012123</v>
      </c>
      <c r="CA84" s="26">
        <f t="shared" si="131"/>
        <v>-16679949.54351908</v>
      </c>
      <c r="CB84" s="26">
        <f t="shared" si="132"/>
        <v>-18194957.212910678</v>
      </c>
      <c r="CC84" s="26">
        <f t="shared" si="133"/>
        <v>-19758716.670144401</v>
      </c>
      <c r="CD84" s="26">
        <f t="shared" si="134"/>
        <v>-21371871.187305994</v>
      </c>
      <c r="CE84" s="26">
        <f t="shared" si="135"/>
        <v>-23034961.059885141</v>
      </c>
      <c r="CF84" s="26">
        <f t="shared" si="136"/>
        <v>-24748371.149180707</v>
      </c>
      <c r="CG84" s="26">
        <f t="shared" si="137"/>
        <v>-26512268.593208008</v>
      </c>
      <c r="CH84" s="26">
        <f t="shared" si="138"/>
        <v>-28326527.881566357</v>
      </c>
      <c r="CI84" s="26">
        <f t="shared" si="139"/>
        <v>-30190639.933025159</v>
      </c>
      <c r="CJ84" s="26">
        <f t="shared" si="140"/>
        <v>-32103601.119428139</v>
      </c>
      <c r="CK84" s="26">
        <f t="shared" si="140"/>
        <v>-34342000</v>
      </c>
      <c r="CM84" s="47"/>
      <c r="CN84" s="13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8"/>
      <c r="DC84" s="50">
        <v>0</v>
      </c>
      <c r="DD84" s="14">
        <f t="shared" ref="DC84:DM84" si="196">$C$20/($C$21-$C$22*DC84)</f>
        <v>0.47951790558030016</v>
      </c>
      <c r="DE84" s="14">
        <f t="shared" si="196"/>
        <v>0.62269991964003457</v>
      </c>
      <c r="DF84" s="14">
        <f t="shared" si="196"/>
        <v>0.68365413138804965</v>
      </c>
      <c r="DG84" s="14">
        <f t="shared" si="196"/>
        <v>0.71338189544565556</v>
      </c>
      <c r="DH84" s="14">
        <f t="shared" si="196"/>
        <v>0.7288385559423749</v>
      </c>
      <c r="DI84" s="14">
        <f t="shared" si="196"/>
        <v>0.73714277157833852</v>
      </c>
      <c r="DJ84" s="14">
        <f t="shared" si="196"/>
        <v>0.74168290376483481</v>
      </c>
      <c r="DK84" s="14">
        <f t="shared" si="196"/>
        <v>0.74418883943825731</v>
      </c>
      <c r="DL84" s="14">
        <f t="shared" si="196"/>
        <v>0.74557926227188609</v>
      </c>
      <c r="DM84" s="14">
        <f t="shared" si="196"/>
        <v>0.74635298434150033</v>
      </c>
      <c r="DN84" s="14">
        <f t="shared" ref="DN84:EA84" si="197">$C$20/($C$21-$C$22*DM84)</f>
        <v>0.74678422966310576</v>
      </c>
      <c r="DO84" s="14">
        <f t="shared" si="197"/>
        <v>0.7470248069144555</v>
      </c>
      <c r="DP84" s="14">
        <f t="shared" si="197"/>
        <v>0.74715908423415356</v>
      </c>
      <c r="DQ84" s="14">
        <f t="shared" si="197"/>
        <v>0.7472340516255952</v>
      </c>
      <c r="DR84" s="14">
        <f t="shared" si="197"/>
        <v>0.74727591266789473</v>
      </c>
      <c r="DS84" s="14">
        <f t="shared" si="197"/>
        <v>0.74729928949639013</v>
      </c>
      <c r="DT84" s="14">
        <f t="shared" si="197"/>
        <v>0.74731234465992313</v>
      </c>
      <c r="DU84" s="14">
        <f t="shared" si="197"/>
        <v>0.74731963572317806</v>
      </c>
      <c r="DV84" s="14">
        <f t="shared" si="197"/>
        <v>0.74732370770676959</v>
      </c>
      <c r="DW84" s="14">
        <f t="shared" si="197"/>
        <v>0.74732598188689847</v>
      </c>
      <c r="DX84" s="14">
        <f t="shared" si="197"/>
        <v>0.74732725200984262</v>
      </c>
      <c r="DY84" s="14">
        <f t="shared" si="197"/>
        <v>0.74732796137166757</v>
      </c>
      <c r="DZ84" s="14">
        <f t="shared" si="197"/>
        <v>0.74732835754980542</v>
      </c>
      <c r="EA84" s="14">
        <f t="shared" si="197"/>
        <v>0.74732857881523174</v>
      </c>
      <c r="EB84" s="14">
        <f t="shared" ref="EB84" si="198">$C$20/($C$21-$C$22*EA84)</f>
        <v>0.74732870239199378</v>
      </c>
      <c r="ED84" s="47"/>
      <c r="EE84" s="13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8"/>
      <c r="ET84" s="14">
        <f t="shared" si="102"/>
        <v>5.7062204747599194E-3</v>
      </c>
      <c r="EU84" s="14">
        <f t="shared" si="103"/>
        <v>0.1161261595583008</v>
      </c>
      <c r="EV84" s="14">
        <f t="shared" si="104"/>
        <v>0.3580331680795758</v>
      </c>
      <c r="EW84" s="14">
        <f t="shared" si="105"/>
        <v>0.70988218244597123</v>
      </c>
      <c r="EX84" s="14">
        <f t="shared" si="106"/>
        <v>1.1502436743126701</v>
      </c>
      <c r="EY84" s="14">
        <f t="shared" si="107"/>
        <v>1.6598676920502211</v>
      </c>
      <c r="EZ84" s="14">
        <f t="shared" si="108"/>
        <v>2.2234379624492604</v>
      </c>
      <c r="FA84" s="14">
        <f t="shared" si="109"/>
        <v>2.8302790493801884</v>
      </c>
      <c r="FB84" s="14">
        <f t="shared" si="110"/>
        <v>3.4742471178041692</v>
      </c>
      <c r="FC84" s="14">
        <f t="shared" si="111"/>
        <v>4.1531713123470491</v>
      </c>
      <c r="FD84" s="14">
        <f t="shared" si="112"/>
        <v>4.8681450501600301</v>
      </c>
      <c r="FE84" s="14">
        <f t="shared" si="144"/>
        <v>5.6962343638285748</v>
      </c>
      <c r="FF84" s="14">
        <f t="shared" si="145"/>
        <v>6.5632689807878339</v>
      </c>
      <c r="FG84" s="14">
        <f t="shared" si="146"/>
        <v>7.4674475274471153</v>
      </c>
      <c r="FH84" s="14">
        <f t="shared" si="147"/>
        <v>8.4077086709005524</v>
      </c>
      <c r="FI84" s="14">
        <f t="shared" si="148"/>
        <v>9.3835061601416534</v>
      </c>
      <c r="FJ84" s="14">
        <f t="shared" si="149"/>
        <v>10.394645346564671</v>
      </c>
      <c r="FK84" s="14">
        <f t="shared" si="150"/>
        <v>11.441164418246798</v>
      </c>
      <c r="FL84" s="14">
        <f t="shared" si="151"/>
        <v>12.523246375148956</v>
      </c>
      <c r="FM84" s="14">
        <f t="shared" si="152"/>
        <v>13.641150880306759</v>
      </c>
      <c r="FN84" s="14">
        <f t="shared" si="153"/>
        <v>14.795157811305231</v>
      </c>
      <c r="FO84" s="14">
        <f t="shared" si="154"/>
        <v>15.985516379505293</v>
      </c>
      <c r="FP84" s="14">
        <f t="shared" si="155"/>
        <v>17.212395092361302</v>
      </c>
      <c r="FQ84" s="14">
        <f t="shared" si="156"/>
        <v>18.475828703754608</v>
      </c>
      <c r="FR84" s="14">
        <f t="shared" si="157"/>
        <v>19.775658737817889</v>
      </c>
      <c r="FS84" s="14">
        <f t="shared" si="158"/>
        <v>21.163186611725571</v>
      </c>
    </row>
    <row r="86" spans="5:175" ht="15" customHeight="1" x14ac:dyDescent="0.25">
      <c r="E86" s="46" t="s">
        <v>30</v>
      </c>
      <c r="F86" s="14">
        <v>350</v>
      </c>
      <c r="G86" s="14">
        <f t="shared" ref="F86:AD86" si="199">EE86/(1-CN86)</f>
        <v>350.00000000000023</v>
      </c>
      <c r="H86" s="14">
        <f t="shared" si="199"/>
        <v>340.12853274242599</v>
      </c>
      <c r="I86" s="14">
        <f t="shared" si="199"/>
        <v>329.82974949428888</v>
      </c>
      <c r="J86" s="14">
        <f t="shared" si="199"/>
        <v>319.13167843471166</v>
      </c>
      <c r="K86" s="14">
        <f t="shared" si="199"/>
        <v>308.05748105501601</v>
      </c>
      <c r="L86" s="14">
        <f t="shared" si="199"/>
        <v>296.62640449878035</v>
      </c>
      <c r="M86" s="14">
        <f t="shared" si="199"/>
        <v>284.85458552768387</v>
      </c>
      <c r="N86" s="14">
        <f t="shared" si="199"/>
        <v>272.75573650412156</v>
      </c>
      <c r="O86" s="14">
        <f t="shared" si="199"/>
        <v>260.34173803218079</v>
      </c>
      <c r="P86" s="14">
        <f t="shared" si="199"/>
        <v>247.62315821118159</v>
      </c>
      <c r="Q86" s="14">
        <f t="shared" si="199"/>
        <v>234.60971456115647</v>
      </c>
      <c r="R86" s="14">
        <f t="shared" si="199"/>
        <v>221.31069134689869</v>
      </c>
      <c r="S86" s="14">
        <f t="shared" si="199"/>
        <v>207.73532205068992</v>
      </c>
      <c r="T86" s="14">
        <f t="shared" si="199"/>
        <v>193.8931439294926</v>
      </c>
      <c r="U86" s="14">
        <f t="shared" si="199"/>
        <v>179.79432874566515</v>
      </c>
      <c r="V86" s="14">
        <f t="shared" si="199"/>
        <v>164.13589249801484</v>
      </c>
      <c r="W86" s="14">
        <f t="shared" si="199"/>
        <v>149.99082350980012</v>
      </c>
      <c r="X86" s="14">
        <f t="shared" si="199"/>
        <v>135.85740546537244</v>
      </c>
      <c r="Y86" s="14">
        <f t="shared" si="199"/>
        <v>121.69816623137142</v>
      </c>
      <c r="Z86" s="14">
        <f t="shared" si="199"/>
        <v>107.46695938155193</v>
      </c>
      <c r="AA86" s="14">
        <f t="shared" si="199"/>
        <v>93.109056981653197</v>
      </c>
      <c r="AB86" s="14">
        <f t="shared" si="199"/>
        <v>78.560880936909228</v>
      </c>
      <c r="AC86" s="14">
        <f t="shared" si="199"/>
        <v>63.749360963823648</v>
      </c>
      <c r="AD86" s="14">
        <f t="shared" si="199"/>
        <v>48.590891968234175</v>
      </c>
      <c r="AE86" s="14">
        <f>FC86/(1-DL86)</f>
        <v>32.989846114985049</v>
      </c>
      <c r="AF86" s="29"/>
      <c r="AG86" s="29"/>
      <c r="AH86" s="29"/>
      <c r="AI86" s="29"/>
      <c r="AJ86" s="29"/>
      <c r="AK86" s="29"/>
      <c r="AL86" s="30"/>
      <c r="AM86" s="30"/>
      <c r="AN86" s="30"/>
      <c r="AO86" s="30"/>
      <c r="AP86" s="30"/>
      <c r="AQ86" s="30"/>
      <c r="AR86" s="30"/>
      <c r="AS86" s="30"/>
      <c r="AT86" s="31"/>
      <c r="AV86" s="47" t="s">
        <v>31</v>
      </c>
      <c r="AW86" s="26">
        <f>-($C$16*$C$15*F44)/($C$13)</f>
        <v>-120197000</v>
      </c>
      <c r="AX86" s="26">
        <f t="shared" ref="AX86:BU96" si="200">-($C$16*$C$15*G44)/($C$13)</f>
        <v>-117381973.68933675</v>
      </c>
      <c r="AY86" s="26">
        <f t="shared" si="200"/>
        <v>-114326465.70314915</v>
      </c>
      <c r="AZ86" s="26">
        <f t="shared" si="200"/>
        <v>-111059056.04323888</v>
      </c>
      <c r="BA86" s="26">
        <f t="shared" si="200"/>
        <v>-107602758.8456976</v>
      </c>
      <c r="BB86" s="26">
        <f t="shared" si="200"/>
        <v>-103976166.14880441</v>
      </c>
      <c r="BC86" s="26">
        <f t="shared" si="200"/>
        <v>-100194356.66768228</v>
      </c>
      <c r="BD86" s="26">
        <f t="shared" si="200"/>
        <v>-96269619.270982176</v>
      </c>
      <c r="BE86" s="26">
        <f t="shared" si="200"/>
        <v>-92212029.378203243</v>
      </c>
      <c r="BF86" s="26">
        <f t="shared" si="200"/>
        <v>-88029907.392930701</v>
      </c>
      <c r="BG86" s="26">
        <f t="shared" si="200"/>
        <v>-83730180.948276997</v>
      </c>
      <c r="BH86" s="26">
        <f t="shared" si="200"/>
        <v>-79318666.676708147</v>
      </c>
      <c r="BI86" s="26">
        <f t="shared" si="200"/>
        <v>-74800282.023446903</v>
      </c>
      <c r="BJ86" s="26">
        <f t="shared" si="200"/>
        <v>-70179192.954918012</v>
      </c>
      <c r="BK86" s="26">
        <f t="shared" si="200"/>
        <v>-65458898.959806122</v>
      </c>
      <c r="BL86" s="26">
        <f t="shared" si="200"/>
        <v>-60642252.202315152</v>
      </c>
      <c r="BM86" s="26">
        <f t="shared" si="200"/>
        <v>-55731402.760993972</v>
      </c>
      <c r="BN86" s="26">
        <f t="shared" si="200"/>
        <v>-50766208.775584139</v>
      </c>
      <c r="BO86" s="26">
        <f t="shared" si="200"/>
        <v>-45737487.230014034</v>
      </c>
      <c r="BP86" s="26">
        <f t="shared" si="200"/>
        <v>-40630286.273505315</v>
      </c>
      <c r="BQ86" s="26">
        <f t="shared" si="200"/>
        <v>-35423707.259753183</v>
      </c>
      <c r="BR86" s="26">
        <f t="shared" si="200"/>
        <v>-30090473.247333296</v>
      </c>
      <c r="BS86" s="26">
        <f t="shared" si="200"/>
        <v>-24596204.37715954</v>
      </c>
      <c r="BT86" s="26">
        <f t="shared" si="200"/>
        <v>-18898346.105668057</v>
      </c>
      <c r="BU86" s="26">
        <f t="shared" si="200"/>
        <v>-12944677.570571464</v>
      </c>
      <c r="BV86" s="26">
        <f>-($C$16*$C$15*AE44)/($C$13)</f>
        <v>-6671303.2501235371</v>
      </c>
      <c r="BW86" s="29"/>
      <c r="BX86" s="29"/>
      <c r="BY86" s="29"/>
      <c r="BZ86" s="29"/>
      <c r="CA86" s="29"/>
      <c r="CB86" s="29"/>
      <c r="CC86" s="30"/>
      <c r="CD86" s="30"/>
      <c r="CE86" s="30"/>
      <c r="CF86" s="30"/>
      <c r="CG86" s="30"/>
      <c r="CH86" s="30"/>
      <c r="CI86" s="30"/>
      <c r="CJ86" s="30"/>
      <c r="CK86" s="31"/>
      <c r="CM86" s="48" t="s">
        <v>32</v>
      </c>
      <c r="CN86" s="14">
        <f t="shared" ref="CN86:CN99" si="201">$C$24/($C$25-$C$26*CN87)</f>
        <v>0.74739969093105907</v>
      </c>
      <c r="CO86" s="14">
        <f t="shared" ref="CO86:CO99" si="202">$C$24/($C$25-$C$26*CO87)</f>
        <v>0.74739969093105907</v>
      </c>
      <c r="CP86" s="14">
        <f t="shared" ref="CP86:CP99" si="203">$C$24/($C$25-$C$26*CP87)</f>
        <v>0.74739969093105907</v>
      </c>
      <c r="CQ86" s="14">
        <f t="shared" ref="CQ86:CQ99" si="204">$C$24/($C$25-$C$26*CQ87)</f>
        <v>0.74739969093105907</v>
      </c>
      <c r="CR86" s="14">
        <f t="shared" ref="CR86:CR99" si="205">$C$24/($C$25-$C$26*CR87)</f>
        <v>0.74739969093105907</v>
      </c>
      <c r="CS86" s="14">
        <f t="shared" ref="CS86:CS99" si="206">$C$24/($C$25-$C$26*CS87)</f>
        <v>0.74739969093105907</v>
      </c>
      <c r="CT86" s="14">
        <f t="shared" ref="CT86:CT99" si="207">$C$24/($C$25-$C$26*CT87)</f>
        <v>0.74739969093105907</v>
      </c>
      <c r="CU86" s="14">
        <f t="shared" ref="CU86:CU99" si="208">$C$24/($C$25-$C$26*CU87)</f>
        <v>0.74739969093105907</v>
      </c>
      <c r="CV86" s="14">
        <f t="shared" ref="CV86:CV99" si="209">$C$24/($C$25-$C$26*CV87)</f>
        <v>0.74739969093105907</v>
      </c>
      <c r="CW86" s="14">
        <f t="shared" ref="CW86:CW99" si="210">$C$24/($C$25-$C$26*CW87)</f>
        <v>0.74739969093105907</v>
      </c>
      <c r="CX86" s="14">
        <f t="shared" ref="CX86:CX99" si="211">$C$24/($C$25-$C$26*CX87)</f>
        <v>0.74739969093105907</v>
      </c>
      <c r="CY86" s="14">
        <f t="shared" ref="CY86:CY99" si="212">$C$24/($C$25-$C$26*CY87)</f>
        <v>0.74739969093105907</v>
      </c>
      <c r="CZ86" s="14">
        <f t="shared" ref="CZ86:CZ99" si="213">$C$24/($C$25-$C$26*CZ87)</f>
        <v>0.74739969093105907</v>
      </c>
      <c r="DA86" s="14">
        <f t="shared" ref="DA86:DA99" si="214">$C$24/($C$25-$C$26*DA87)</f>
        <v>0.74739969093105907</v>
      </c>
      <c r="DB86" s="14">
        <f t="shared" ref="DB86:DB99" si="215">$C$24/($C$25-$C$26*DB87)</f>
        <v>0.74739969093105907</v>
      </c>
      <c r="DC86" s="14">
        <f t="shared" ref="DC86:DC115" si="216">$C$24/($C$25-$C$26*DC87)</f>
        <v>0.74732885875105548</v>
      </c>
      <c r="DD86" s="14">
        <f t="shared" ref="DD86:DD115" si="217">$C$24/($C$25-$C$26*DD87)</f>
        <v>0.74732885875105548</v>
      </c>
      <c r="DE86" s="14">
        <f t="shared" ref="DE86:DE115" si="218">$C$24/($C$25-$C$26*DE87)</f>
        <v>0.74732885875105548</v>
      </c>
      <c r="DF86" s="14">
        <f t="shared" ref="DF86:DF115" si="219">$C$24/($C$25-$C$26*DF87)</f>
        <v>0.74732885875105548</v>
      </c>
      <c r="DG86" s="14">
        <f t="shared" ref="DG86:DG115" si="220">$C$24/($C$25-$C$26*DG87)</f>
        <v>0.74732885875105548</v>
      </c>
      <c r="DH86" s="14">
        <f t="shared" ref="DH86:DH115" si="221">$C$24/($C$25-$C$26*DH87)</f>
        <v>0.74732885875105548</v>
      </c>
      <c r="DI86" s="14">
        <f t="shared" ref="DI86:DI115" si="222">$C$24/($C$25-$C$26*DI87)</f>
        <v>0.74732885875105548</v>
      </c>
      <c r="DJ86" s="14">
        <f t="shared" ref="DJ86:DJ115" si="223">$C$24/($C$25-$C$26*DJ87)</f>
        <v>0.74732885875105548</v>
      </c>
      <c r="DK86" s="14">
        <f t="shared" ref="DK86:DK115" si="224">$C$24/($C$25-$C$26*DK87)</f>
        <v>0.74732885875105548</v>
      </c>
      <c r="DL86" s="14">
        <f t="shared" ref="DL86:DL115" si="225">$C$24/($C$25-$C$26*DL87)</f>
        <v>0.74732885875105548</v>
      </c>
      <c r="DM86" s="14">
        <f t="shared" ref="DM86:DM115" si="226">$C$24/($C$25-$C$26*DM87)</f>
        <v>0.74732885875105548</v>
      </c>
      <c r="DN86" s="29"/>
      <c r="DO86" s="29"/>
      <c r="DP86" s="29"/>
      <c r="DQ86" s="29"/>
      <c r="DR86" s="29"/>
      <c r="DS86" s="29"/>
      <c r="DT86" s="30"/>
      <c r="DU86" s="30"/>
      <c r="DV86" s="30"/>
      <c r="DW86" s="30"/>
      <c r="DX86" s="30"/>
      <c r="DY86" s="30"/>
      <c r="DZ86" s="30"/>
      <c r="EA86" s="30"/>
      <c r="EB86" s="31"/>
      <c r="ED86" s="48" t="s">
        <v>34</v>
      </c>
      <c r="EE86" s="14">
        <f>(EE87*$C$26-AW86)/($C$25-$C$26*CN87)</f>
        <v>88.410108174129377</v>
      </c>
      <c r="EF86" s="14">
        <f t="shared" ref="EF86:ES86" si="227">(EF87*$C$26-AX86)/($C$25-$C$26*CO87)</f>
        <v>85.916572493902194</v>
      </c>
      <c r="EG86" s="14">
        <f t="shared" si="227"/>
        <v>83.31509666238874</v>
      </c>
      <c r="EH86" s="14">
        <f t="shared" si="227"/>
        <v>80.612760606298039</v>
      </c>
      <c r="EI86" s="14">
        <f t="shared" si="227"/>
        <v>77.815414925496455</v>
      </c>
      <c r="EJ86" s="14">
        <f t="shared" si="227"/>
        <v>74.927921454400604</v>
      </c>
      <c r="EK86" s="14">
        <f t="shared" si="227"/>
        <v>71.954356343998015</v>
      </c>
      <c r="EL86" s="14">
        <f t="shared" si="227"/>
        <v>68.898183341267725</v>
      </c>
      <c r="EM86" s="14">
        <f t="shared" si="227"/>
        <v>65.762403490474114</v>
      </c>
      <c r="EN86" s="14">
        <f t="shared" si="227"/>
        <v>62.549686296771725</v>
      </c>
      <c r="EO86" s="14">
        <f t="shared" si="227"/>
        <v>59.262486408724136</v>
      </c>
      <c r="EP86" s="14">
        <f t="shared" si="227"/>
        <v>55.903149034487605</v>
      </c>
      <c r="EQ86" s="14">
        <f t="shared" si="227"/>
        <v>52.474006554540253</v>
      </c>
      <c r="ER86" s="14">
        <f t="shared" si="227"/>
        <v>48.977468082938479</v>
      </c>
      <c r="ES86" s="14">
        <f t="shared" si="227"/>
        <v>45.416103009997791</v>
      </c>
      <c r="ET86" s="14">
        <f t="shared" ref="ET86:ET100" si="228">(ET87*$C$26-BL86)/($C$25-$C$26*DC87)</f>
        <v>41.472403277387478</v>
      </c>
      <c r="EU86" s="14">
        <f t="shared" ref="EU86:EU100" si="229">(EU87*$C$26-BM86)/($C$25-$C$26*DD87)</f>
        <v>37.898352553090213</v>
      </c>
      <c r="EV86" s="14">
        <f t="shared" ref="EV86:EV100" si="230">(EV87*$C$26-BN86)/($C$25-$C$26*DE87)</f>
        <v>34.327245686056244</v>
      </c>
      <c r="EW86" s="14">
        <f t="shared" ref="EW86:EW100" si="231">(EW87*$C$26-BO86)/($C$25-$C$26*DF87)</f>
        <v>30.749614549584379</v>
      </c>
      <c r="EX86" s="14">
        <f t="shared" ref="EX86:EX100" si="232">(EX87*$C$26-BP86)/($C$25-$C$26*DG87)</f>
        <v>27.153799273490691</v>
      </c>
      <c r="EY86" s="14">
        <f t="shared" ref="EY86:EY100" si="233">(EY87*$C$26-BQ86)/($C$25-$C$26*DH87)</f>
        <v>23.525971688167317</v>
      </c>
      <c r="EZ86" s="14">
        <f t="shared" ref="EZ86:EZ100" si="234">(EZ87*$C$26-BR86)/($C$25-$C$26*DI87)</f>
        <v>19.850067443851305</v>
      </c>
      <c r="FA86" s="14">
        <f t="shared" ref="FA86:FA100" si="235">(FA87*$C$26-BS86)/($C$25-$C$26*DJ87)</f>
        <v>16.107623788620234</v>
      </c>
      <c r="FB86" s="14">
        <f t="shared" ref="FB86:FB100" si="236">(FB87*$C$26-BT86)/($C$25-$C$26*DK87)</f>
        <v>12.277516127917901</v>
      </c>
      <c r="FC86" s="14">
        <f t="shared" ref="FC86:FC100" si="237">(FC87*$C$26-BU86)/($C$25-$C$26*DL87)</f>
        <v>8.3355820675003311</v>
      </c>
      <c r="FD86" s="14">
        <f t="shared" ref="FD86:FD100" si="238">(FD87*$C$26-BV86)/($C$25-$C$26*DM87)</f>
        <v>4.2541164504222015</v>
      </c>
      <c r="FE86" s="29"/>
      <c r="FF86" s="29"/>
      <c r="FG86" s="29"/>
      <c r="FH86" s="29"/>
      <c r="FI86" s="29"/>
      <c r="FJ86" s="29"/>
      <c r="FK86" s="30"/>
      <c r="FL86" s="30"/>
      <c r="FM86" s="30"/>
      <c r="FN86" s="30"/>
      <c r="FO86" s="30"/>
      <c r="FP86" s="30"/>
      <c r="FQ86" s="30"/>
      <c r="FR86" s="30"/>
      <c r="FS86" s="31"/>
    </row>
    <row r="87" spans="5:175" ht="15" customHeight="1" x14ac:dyDescent="0.25">
      <c r="E87" s="46"/>
      <c r="F87" s="14">
        <v>350</v>
      </c>
      <c r="G87" s="14">
        <f>CO87*G86+EF87</f>
        <v>347.36397391051509</v>
      </c>
      <c r="H87" s="14">
        <f t="shared" ref="H87:AE87" si="239">CP87*H86+EG87</f>
        <v>337.26486401624959</v>
      </c>
      <c r="I87" s="14">
        <f t="shared" si="239"/>
        <v>326.76411804467273</v>
      </c>
      <c r="J87" s="14">
        <f t="shared" si="239"/>
        <v>315.88478884768773</v>
      </c>
      <c r="K87" s="14">
        <f t="shared" si="239"/>
        <v>304.64606872745378</v>
      </c>
      <c r="L87" s="14">
        <f t="shared" si="239"/>
        <v>293.06404692311293</v>
      </c>
      <c r="M87" s="14">
        <f t="shared" si="239"/>
        <v>281.15236241334156</v>
      </c>
      <c r="N87" s="14">
        <f t="shared" si="239"/>
        <v>268.92277357169706</v>
      </c>
      <c r="O87" s="14">
        <f t="shared" si="239"/>
        <v>256.38566259461373</v>
      </c>
      <c r="P87" s="14">
        <f t="shared" si="239"/>
        <v>243.55048962756607</v>
      </c>
      <c r="Q87" s="14">
        <f t="shared" si="239"/>
        <v>230.42620898581387</v>
      </c>
      <c r="R87" s="14">
        <f t="shared" si="239"/>
        <v>217.02165766087302</v>
      </c>
      <c r="S87" s="14">
        <f t="shared" si="239"/>
        <v>203.34592428900098</v>
      </c>
      <c r="T87" s="14">
        <f t="shared" si="239"/>
        <v>189.40870480022321</v>
      </c>
      <c r="U87" s="14">
        <f t="shared" si="239"/>
        <v>174.77453458507196</v>
      </c>
      <c r="V87" s="14">
        <f t="shared" si="239"/>
        <v>159.51170392552115</v>
      </c>
      <c r="W87" s="14">
        <f t="shared" si="239"/>
        <v>145.39731400864713</v>
      </c>
      <c r="X87" s="14">
        <f t="shared" si="239"/>
        <v>131.29870393553583</v>
      </c>
      <c r="Y87" s="14">
        <f t="shared" si="239"/>
        <v>117.17598700473673</v>
      </c>
      <c r="Z87" s="14">
        <f t="shared" si="239"/>
        <v>102.98137186847174</v>
      </c>
      <c r="AA87" s="14">
        <f t="shared" si="239"/>
        <v>88.659248380514256</v>
      </c>
      <c r="AB87" s="14">
        <f t="shared" si="239"/>
        <v>74.145950009692243</v>
      </c>
      <c r="AC87" s="14">
        <f t="shared" si="239"/>
        <v>59.369188132892397</v>
      </c>
      <c r="AD87" s="14">
        <f t="shared" si="239"/>
        <v>44.247140839135191</v>
      </c>
      <c r="AE87" s="14">
        <f t="shared" si="239"/>
        <v>28.687164853044344</v>
      </c>
      <c r="AF87" s="12"/>
      <c r="AG87" s="12"/>
      <c r="AH87" s="12"/>
      <c r="AI87" s="12"/>
      <c r="AJ87" s="12"/>
      <c r="AK87" s="12"/>
      <c r="AL87" s="24"/>
      <c r="AM87" s="24"/>
      <c r="AN87" s="24"/>
      <c r="AO87" s="24"/>
      <c r="AP87" s="24"/>
      <c r="AQ87" s="24"/>
      <c r="AR87" s="24"/>
      <c r="AS87" s="24"/>
      <c r="AT87" s="32"/>
      <c r="AV87" s="47"/>
      <c r="AW87" s="26">
        <f t="shared" ref="AW87:AW101" si="240">-($C$16*$C$15*F45)/($C$13)</f>
        <v>-120197000</v>
      </c>
      <c r="AX87" s="26">
        <f t="shared" si="200"/>
        <v>-117108111.05292788</v>
      </c>
      <c r="AY87" s="26">
        <f t="shared" si="200"/>
        <v>-113832679.70486827</v>
      </c>
      <c r="AZ87" s="26">
        <f t="shared" si="200"/>
        <v>-110387176.87209614</v>
      </c>
      <c r="BA87" s="26">
        <f t="shared" si="200"/>
        <v>-106785327.68079069</v>
      </c>
      <c r="BB87" s="26">
        <f t="shared" si="200"/>
        <v>-103038607.6590265</v>
      </c>
      <c r="BC87" s="26">
        <f t="shared" si="200"/>
        <v>-99156660.009814158</v>
      </c>
      <c r="BD87" s="26">
        <f t="shared" si="200"/>
        <v>-95147647.389063448</v>
      </c>
      <c r="BE87" s="26">
        <f t="shared" si="200"/>
        <v>-91018549.088424593</v>
      </c>
      <c r="BF87" s="26">
        <f t="shared" si="200"/>
        <v>-86775412.298360735</v>
      </c>
      <c r="BG87" s="26">
        <f t="shared" si="200"/>
        <v>-82423564.117593318</v>
      </c>
      <c r="BH87" s="26">
        <f t="shared" si="200"/>
        <v>-77967789.097445905</v>
      </c>
      <c r="BI87" s="26">
        <f t="shared" si="200"/>
        <v>-73412475.277387217</v>
      </c>
      <c r="BJ87" s="26">
        <f t="shared" si="200"/>
        <v>-68761729.789415747</v>
      </c>
      <c r="BK87" s="26">
        <f t="shared" si="200"/>
        <v>-64019463.082458533</v>
      </c>
      <c r="BL87" s="26">
        <f t="shared" si="200"/>
        <v>-59189438.527992323</v>
      </c>
      <c r="BM87" s="26">
        <f t="shared" si="200"/>
        <v>-54288369.418986678</v>
      </c>
      <c r="BN87" s="26">
        <f t="shared" si="200"/>
        <v>-49345343.275338046</v>
      </c>
      <c r="BO87" s="26">
        <f t="shared" si="200"/>
        <v>-44352170.780847348</v>
      </c>
      <c r="BP87" s="26">
        <f t="shared" si="200"/>
        <v>-39295915.780530147</v>
      </c>
      <c r="BQ87" s="26">
        <f t="shared" si="200"/>
        <v>-34158960.354095891</v>
      </c>
      <c r="BR87" s="26">
        <f t="shared" si="200"/>
        <v>-28918901.839868862</v>
      </c>
      <c r="BS87" s="26">
        <f t="shared" si="200"/>
        <v>-23548270.493550748</v>
      </c>
      <c r="BT87" s="26">
        <f t="shared" si="200"/>
        <v>-18014050.632243205</v>
      </c>
      <c r="BU87" s="26">
        <f t="shared" si="200"/>
        <v>-12276980.952594541</v>
      </c>
      <c r="BV87" s="26">
        <f t="shared" ref="BV87:BV101" si="241">-($C$16*$C$15*AE45)/($C$13)</f>
        <v>-6290600.983080795</v>
      </c>
      <c r="BW87" s="12"/>
      <c r="BX87" s="12"/>
      <c r="BY87" s="12"/>
      <c r="BZ87" s="12"/>
      <c r="CA87" s="12"/>
      <c r="CB87" s="12"/>
      <c r="CC87" s="24"/>
      <c r="CD87" s="24"/>
      <c r="CE87" s="24"/>
      <c r="CF87" s="24"/>
      <c r="CG87" s="24"/>
      <c r="CH87" s="24"/>
      <c r="CI87" s="24"/>
      <c r="CJ87" s="24"/>
      <c r="CK87" s="32"/>
      <c r="CM87" s="47"/>
      <c r="CN87" s="14">
        <f t="shared" si="201"/>
        <v>0.74745567240959288</v>
      </c>
      <c r="CO87" s="14">
        <f t="shared" si="202"/>
        <v>0.74745567240959288</v>
      </c>
      <c r="CP87" s="14">
        <f t="shared" si="203"/>
        <v>0.74745567240959288</v>
      </c>
      <c r="CQ87" s="14">
        <f t="shared" si="204"/>
        <v>0.74745567240959288</v>
      </c>
      <c r="CR87" s="14">
        <f t="shared" si="205"/>
        <v>0.74745567240959288</v>
      </c>
      <c r="CS87" s="14">
        <f t="shared" si="206"/>
        <v>0.74745567240959288</v>
      </c>
      <c r="CT87" s="14">
        <f t="shared" si="207"/>
        <v>0.74745567240959288</v>
      </c>
      <c r="CU87" s="14">
        <f t="shared" si="208"/>
        <v>0.74745567240959288</v>
      </c>
      <c r="CV87" s="14">
        <f t="shared" si="209"/>
        <v>0.74745567240959288</v>
      </c>
      <c r="CW87" s="14">
        <f t="shared" si="210"/>
        <v>0.74745567240959288</v>
      </c>
      <c r="CX87" s="14">
        <f t="shared" si="211"/>
        <v>0.74745567240959288</v>
      </c>
      <c r="CY87" s="14">
        <f t="shared" si="212"/>
        <v>0.74745567240959288</v>
      </c>
      <c r="CZ87" s="14">
        <f t="shared" si="213"/>
        <v>0.74745567240959288</v>
      </c>
      <c r="DA87" s="14">
        <f t="shared" si="214"/>
        <v>0.74745567240959288</v>
      </c>
      <c r="DB87" s="14">
        <f t="shared" si="215"/>
        <v>0.74745567240959288</v>
      </c>
      <c r="DC87" s="14">
        <f t="shared" si="216"/>
        <v>0.74732885877758792</v>
      </c>
      <c r="DD87" s="14">
        <f t="shared" si="217"/>
        <v>0.74732885877758792</v>
      </c>
      <c r="DE87" s="14">
        <f t="shared" si="218"/>
        <v>0.74732885877758792</v>
      </c>
      <c r="DF87" s="14">
        <f t="shared" si="219"/>
        <v>0.74732885877758792</v>
      </c>
      <c r="DG87" s="14">
        <f t="shared" si="220"/>
        <v>0.74732885877758792</v>
      </c>
      <c r="DH87" s="14">
        <f t="shared" si="221"/>
        <v>0.74732885877758792</v>
      </c>
      <c r="DI87" s="14">
        <f t="shared" si="222"/>
        <v>0.74732885877758792</v>
      </c>
      <c r="DJ87" s="14">
        <f t="shared" si="223"/>
        <v>0.74732885877758792</v>
      </c>
      <c r="DK87" s="14">
        <f t="shared" si="224"/>
        <v>0.74732885877758792</v>
      </c>
      <c r="DL87" s="14">
        <f t="shared" si="225"/>
        <v>0.74732885877758792</v>
      </c>
      <c r="DM87" s="14">
        <f t="shared" si="226"/>
        <v>0.74732885877758792</v>
      </c>
      <c r="DN87" s="12"/>
      <c r="DO87" s="12"/>
      <c r="DP87" s="12"/>
      <c r="DQ87" s="12"/>
      <c r="DR87" s="12"/>
      <c r="DS87" s="12"/>
      <c r="DT87" s="24"/>
      <c r="DU87" s="24"/>
      <c r="DV87" s="24"/>
      <c r="DW87" s="24"/>
      <c r="DX87" s="24"/>
      <c r="DY87" s="24"/>
      <c r="DZ87" s="24"/>
      <c r="EA87" s="24"/>
      <c r="EB87" s="32"/>
      <c r="ED87" s="47"/>
      <c r="EE87" s="14">
        <f t="shared" ref="EE87:EE100" si="242">(EE88*$C$26-AW87)/($C$25-$C$26*CN88)</f>
        <v>88.390514656642495</v>
      </c>
      <c r="EF87" s="14">
        <f t="shared" ref="EF87:EF100" si="243">(EF88*$C$26-AX87)/($C$25-$C$26*CO88)</f>
        <v>85.754488567157424</v>
      </c>
      <c r="EG87" s="14">
        <f t="shared" ref="EG87:EG100" si="244">(EG88*$C$26-AY87)/($C$25-$C$26*CP88)</f>
        <v>83.033862869571323</v>
      </c>
      <c r="EH87" s="14">
        <f t="shared" ref="EH87:EH100" si="245">(EH88*$C$26-AZ87)/($C$25-$C$26*CQ88)</f>
        <v>80.23100085573148</v>
      </c>
      <c r="EI87" s="14">
        <f t="shared" ref="EI87:EI100" si="246">(EI88*$C$26-BA87)/($C$25-$C$26*CR88)</f>
        <v>77.348005556068358</v>
      </c>
      <c r="EJ87" s="14">
        <f t="shared" ref="EJ87:EJ100" si="247">(EJ88*$C$26-BB87)/($C$25-$C$26*CS88)</f>
        <v>74.386757084671373</v>
      </c>
      <c r="EK87" s="14">
        <f t="shared" ref="EK87:EK100" si="248">(EK88*$C$26-BC87)/($C$25-$C$26*CT88)</f>
        <v>71.348958294037189</v>
      </c>
      <c r="EL87" s="14">
        <f t="shared" ref="EL87:EL100" si="249">(EL88*$C$26-BD87)/($C$25-$C$26*CU88)</f>
        <v>68.236186648790749</v>
      </c>
      <c r="EM87" s="14">
        <f t="shared" ref="EM87:EM100" si="250">(EM88*$C$26-BE87)/($C$25-$C$26*CV88)</f>
        <v>65.049951139435123</v>
      </c>
      <c r="EN87" s="14">
        <f t="shared" ref="EN87:EN100" si="251">(EN88*$C$26-BF87)/($C$25-$C$26*CW88)</f>
        <v>61.791753737487959</v>
      </c>
      <c r="EO87" s="14">
        <f t="shared" ref="EO87:EO100" si="252">(EO88*$C$26-BG87)/($C$25-$C$26*CX88)</f>
        <v>58.463155402640332</v>
      </c>
      <c r="EP87" s="14">
        <f t="shared" ref="EP87:EP100" si="253">(EP88*$C$26-BH87)/($C$25-$C$26*CY88)</f>
        <v>55.065847034682015</v>
      </c>
      <c r="EQ87" s="14">
        <f t="shared" ref="EQ87:EQ100" si="254">(EQ88*$C$26-BI87)/($C$25-$C$26*CZ88)</f>
        <v>51.601726048744993</v>
      </c>
      <c r="ER87" s="14">
        <f t="shared" ref="ER87:ER100" si="255">(ER88*$C$26-BJ87)/($C$25-$C$26*DA88)</f>
        <v>48.072979462379209</v>
      </c>
      <c r="ES87" s="14">
        <f t="shared" ref="ES87:ES100" si="256">(ES88*$C$26-BK87)/($C$25-$C$26*DB88)</f>
        <v>44.482174528794367</v>
      </c>
      <c r="ET87" s="14">
        <f t="shared" si="228"/>
        <v>40.409044068891539</v>
      </c>
      <c r="EU87" s="14">
        <f t="shared" si="229"/>
        <v>36.848214700538847</v>
      </c>
      <c r="EV87" s="14">
        <f t="shared" si="230"/>
        <v>33.304843047957611</v>
      </c>
      <c r="EW87" s="14">
        <f t="shared" si="231"/>
        <v>29.768544152615018</v>
      </c>
      <c r="EX87" s="14">
        <f t="shared" si="232"/>
        <v>26.227435319720733</v>
      </c>
      <c r="EY87" s="14">
        <f t="shared" si="233"/>
        <v>22.668211757559142</v>
      </c>
      <c r="EZ87" s="14">
        <f t="shared" si="234"/>
        <v>19.076163084557965</v>
      </c>
      <c r="FA87" s="14">
        <f t="shared" si="235"/>
        <v>15.435136514549901</v>
      </c>
      <c r="FB87" s="14">
        <f t="shared" si="236"/>
        <v>11.727450955997556</v>
      </c>
      <c r="FC87" s="14">
        <f t="shared" si="237"/>
        <v>7.9337649975296847</v>
      </c>
      <c r="FD87" s="14">
        <f t="shared" si="238"/>
        <v>4.0329008046843251</v>
      </c>
      <c r="FE87" s="12"/>
      <c r="FF87" s="12"/>
      <c r="FG87" s="12"/>
      <c r="FH87" s="12"/>
      <c r="FI87" s="12"/>
      <c r="FJ87" s="12"/>
      <c r="FK87" s="24"/>
      <c r="FL87" s="24"/>
      <c r="FM87" s="24"/>
      <c r="FN87" s="24"/>
      <c r="FO87" s="24"/>
      <c r="FP87" s="24"/>
      <c r="FQ87" s="24"/>
      <c r="FR87" s="24"/>
      <c r="FS87" s="32"/>
    </row>
    <row r="88" spans="5:175" ht="15" customHeight="1" x14ac:dyDescent="0.25">
      <c r="E88" s="46"/>
      <c r="F88" s="14">
        <v>350</v>
      </c>
      <c r="G88" s="14">
        <f t="shared" ref="G88:G101" si="257">CO88*G87+EF88</f>
        <v>345.27113808655758</v>
      </c>
      <c r="H88" s="14">
        <f t="shared" ref="H88:H101" si="258">CP88*H87+EG88</f>
        <v>334.89642411982243</v>
      </c>
      <c r="I88" s="14">
        <f t="shared" ref="I88:I101" si="259">CQ88*I87+EH88</f>
        <v>324.15374941764497</v>
      </c>
      <c r="J88" s="14">
        <f t="shared" ref="J88:J101" si="260">CR88*J87+EI88</f>
        <v>313.05974665003743</v>
      </c>
      <c r="K88" s="14">
        <f t="shared" ref="K88:K101" si="261">CS88*K87+EJ88</f>
        <v>301.6284238783382</v>
      </c>
      <c r="L88" s="14">
        <f t="shared" ref="L88:L101" si="262">CT88*L87+EK88</f>
        <v>289.87168809981398</v>
      </c>
      <c r="M88" s="14">
        <f t="shared" ref="M88:M101" si="263">CU88*M87+EL88</f>
        <v>277.79981514748835</v>
      </c>
      <c r="N88" s="14">
        <f t="shared" ref="N88:N101" si="264">CV88*N87+EM88</f>
        <v>265.42187775657789</v>
      </c>
      <c r="O88" s="14">
        <f t="shared" ref="O88:O101" si="265">CW88*O87+EN88</f>
        <v>252.74614236845994</v>
      </c>
      <c r="P88" s="14">
        <f t="shared" ref="P88:P101" si="266">CX88*P87+EO88</f>
        <v>239.78044418581754</v>
      </c>
      <c r="Q88" s="14">
        <f t="shared" ref="Q88:Q101" si="267">CY88*Q87+EP88</f>
        <v>226.53254908023797</v>
      </c>
      <c r="R88" s="14">
        <f t="shared" ref="R88:R101" si="268">CZ88*R87+EQ88</f>
        <v>213.01051014313333</v>
      </c>
      <c r="S88" s="14">
        <f t="shared" ref="S88:S101" si="269">DA88*S87+ER88</f>
        <v>199.22302591286248</v>
      </c>
      <c r="T88" s="14">
        <f t="shared" ref="T88:T101" si="270">DB88*T87+ES88</f>
        <v>185.17980654658422</v>
      </c>
      <c r="U88" s="14">
        <f t="shared" ref="U88:U101" si="271">DC88*U87+ET88</f>
        <v>169.96161409094969</v>
      </c>
      <c r="V88" s="14">
        <f t="shared" ref="V88:V101" si="272">DD88*V87+EU88</f>
        <v>155.00968946823042</v>
      </c>
      <c r="W88" s="14">
        <f t="shared" ref="W88:W101" si="273">DE88*W87+EV88</f>
        <v>140.949824980507</v>
      </c>
      <c r="X88" s="14">
        <f t="shared" ref="X88:X101" si="274">DF88*X87+EW88</f>
        <v>126.92369149144412</v>
      </c>
      <c r="Y88" s="14">
        <f t="shared" ref="Y88:Y101" si="275">DG88*Y87+EX88</f>
        <v>112.88879824492707</v>
      </c>
      <c r="Z88" s="14">
        <f t="shared" ref="Z88:Z101" si="276">DH88*Z87+EY88</f>
        <v>98.796008826280797</v>
      </c>
      <c r="AA88" s="14">
        <f t="shared" ref="AA88:AA101" si="277">DI88*AA87+EZ88</f>
        <v>84.58965302289954</v>
      </c>
      <c r="AB88" s="14">
        <f t="shared" ref="AB88:AB101" si="278">DJ88*AB87+FA88</f>
        <v>70.207370241375202</v>
      </c>
      <c r="AC88" s="14">
        <f t="shared" ref="AC88:AC101" si="279">DK88*AC87+FB88</f>
        <v>55.579690912994664</v>
      </c>
      <c r="AD88" s="14">
        <f t="shared" ref="AD88:AD101" si="280">DL88*AD87+FC88</f>
        <v>40.629352932519119</v>
      </c>
      <c r="AE88" s="14">
        <f t="shared" ref="AE88:AE101" si="281">DM88*AE87+FD88</f>
        <v>25.270340598753322</v>
      </c>
      <c r="AF88" s="12"/>
      <c r="AG88" s="12"/>
      <c r="AH88" s="12"/>
      <c r="AI88" s="12"/>
      <c r="AJ88" s="12"/>
      <c r="AK88" s="12"/>
      <c r="AL88" s="24"/>
      <c r="AM88" s="24"/>
      <c r="AN88" s="24"/>
      <c r="AO88" s="24"/>
      <c r="AP88" s="24"/>
      <c r="AQ88" s="24"/>
      <c r="AR88" s="24"/>
      <c r="AS88" s="24"/>
      <c r="AT88" s="32"/>
      <c r="AV88" s="47"/>
      <c r="AW88" s="26">
        <f t="shared" si="240"/>
        <v>-120197000</v>
      </c>
      <c r="AX88" s="26">
        <f t="shared" si="200"/>
        <v>-116872933.02106419</v>
      </c>
      <c r="AY88" s="26">
        <f t="shared" si="200"/>
        <v>-113403631.74044034</v>
      </c>
      <c r="AZ88" s="26">
        <f t="shared" si="200"/>
        <v>-109797090.75274745</v>
      </c>
      <c r="BA88" s="26">
        <f t="shared" si="200"/>
        <v>-106060375.65611635</v>
      </c>
      <c r="BB88" s="26">
        <f t="shared" si="200"/>
        <v>-102199738.68790542</v>
      </c>
      <c r="BC88" s="26">
        <f t="shared" si="200"/>
        <v>-98220741.876559168</v>
      </c>
      <c r="BD88" s="26">
        <f t="shared" si="200"/>
        <v>-94128382.870648697</v>
      </c>
      <c r="BE88" s="26">
        <f t="shared" si="200"/>
        <v>-89927220.408649579</v>
      </c>
      <c r="BF88" s="26">
        <f t="shared" si="200"/>
        <v>-85621497.589614749</v>
      </c>
      <c r="BG88" s="26">
        <f t="shared" si="200"/>
        <v>-81215261.834201753</v>
      </c>
      <c r="BH88" s="26">
        <f t="shared" si="200"/>
        <v>-76712480.780837297</v>
      </c>
      <c r="BI88" s="26">
        <f t="shared" si="200"/>
        <v>-72117153.400266767</v>
      </c>
      <c r="BJ88" s="26">
        <f t="shared" si="200"/>
        <v>-67433415.360406116</v>
      </c>
      <c r="BK88" s="26">
        <f t="shared" si="200"/>
        <v>-62665637.133053049</v>
      </c>
      <c r="BL88" s="26">
        <f t="shared" si="200"/>
        <v>-57818512.480887517</v>
      </c>
      <c r="BM88" s="26">
        <f t="shared" si="200"/>
        <v>-52924427.703975663</v>
      </c>
      <c r="BN88" s="26">
        <f t="shared" si="200"/>
        <v>-48003945.730649039</v>
      </c>
      <c r="BO88" s="26">
        <f t="shared" si="200"/>
        <v>-43049203.497761533</v>
      </c>
      <c r="BP88" s="26">
        <f t="shared" si="200"/>
        <v>-38048421.573727928</v>
      </c>
      <c r="BQ88" s="26">
        <f t="shared" si="200"/>
        <v>-32986144.445216179</v>
      </c>
      <c r="BR88" s="26">
        <f t="shared" si="200"/>
        <v>-27843361.731951706</v>
      </c>
      <c r="BS88" s="26">
        <f t="shared" si="200"/>
        <v>-22597517.403028525</v>
      </c>
      <c r="BT88" s="26">
        <f t="shared" si="200"/>
        <v>-17222412.375828337</v>
      </c>
      <c r="BU88" s="26">
        <f t="shared" si="200"/>
        <v>-11688004.457354702</v>
      </c>
      <c r="BV88" s="26">
        <f t="shared" si="241"/>
        <v>-5960108.5914686397</v>
      </c>
      <c r="BW88" s="12"/>
      <c r="BX88" s="12"/>
      <c r="BY88" s="12"/>
      <c r="BZ88" s="12"/>
      <c r="CA88" s="12"/>
      <c r="CB88" s="12"/>
      <c r="CC88" s="24"/>
      <c r="CD88" s="24"/>
      <c r="CE88" s="24"/>
      <c r="CF88" s="24"/>
      <c r="CG88" s="24"/>
      <c r="CH88" s="24"/>
      <c r="CI88" s="24"/>
      <c r="CJ88" s="24"/>
      <c r="CK88" s="32"/>
      <c r="CM88" s="47"/>
      <c r="CN88" s="14">
        <f t="shared" si="201"/>
        <v>0.7475558812435108</v>
      </c>
      <c r="CO88" s="14">
        <f t="shared" si="202"/>
        <v>0.7475558812435108</v>
      </c>
      <c r="CP88" s="14">
        <f t="shared" si="203"/>
        <v>0.7475558812435108</v>
      </c>
      <c r="CQ88" s="14">
        <f t="shared" si="204"/>
        <v>0.7475558812435108</v>
      </c>
      <c r="CR88" s="14">
        <f t="shared" si="205"/>
        <v>0.7475558812435108</v>
      </c>
      <c r="CS88" s="14">
        <f t="shared" si="206"/>
        <v>0.7475558812435108</v>
      </c>
      <c r="CT88" s="14">
        <f t="shared" si="207"/>
        <v>0.7475558812435108</v>
      </c>
      <c r="CU88" s="14">
        <f t="shared" si="208"/>
        <v>0.7475558812435108</v>
      </c>
      <c r="CV88" s="14">
        <f t="shared" si="209"/>
        <v>0.7475558812435108</v>
      </c>
      <c r="CW88" s="14">
        <f t="shared" si="210"/>
        <v>0.7475558812435108</v>
      </c>
      <c r="CX88" s="14">
        <f t="shared" si="211"/>
        <v>0.7475558812435108</v>
      </c>
      <c r="CY88" s="14">
        <f t="shared" si="212"/>
        <v>0.7475558812435108</v>
      </c>
      <c r="CZ88" s="14">
        <f t="shared" si="213"/>
        <v>0.7475558812435108</v>
      </c>
      <c r="DA88" s="14">
        <f t="shared" si="214"/>
        <v>0.7475558812435108</v>
      </c>
      <c r="DB88" s="14">
        <f t="shared" si="215"/>
        <v>0.7475558812435108</v>
      </c>
      <c r="DC88" s="14">
        <f t="shared" si="216"/>
        <v>0.7473288588250947</v>
      </c>
      <c r="DD88" s="14">
        <f t="shared" si="217"/>
        <v>0.7473288588250947</v>
      </c>
      <c r="DE88" s="14">
        <f t="shared" si="218"/>
        <v>0.7473288588250947</v>
      </c>
      <c r="DF88" s="14">
        <f t="shared" si="219"/>
        <v>0.7473288588250947</v>
      </c>
      <c r="DG88" s="14">
        <f t="shared" si="220"/>
        <v>0.7473288588250947</v>
      </c>
      <c r="DH88" s="14">
        <f t="shared" si="221"/>
        <v>0.7473288588250947</v>
      </c>
      <c r="DI88" s="14">
        <f t="shared" si="222"/>
        <v>0.7473288588250947</v>
      </c>
      <c r="DJ88" s="14">
        <f t="shared" si="223"/>
        <v>0.7473288588250947</v>
      </c>
      <c r="DK88" s="14">
        <f t="shared" si="224"/>
        <v>0.7473288588250947</v>
      </c>
      <c r="DL88" s="14">
        <f t="shared" si="225"/>
        <v>0.7473288588250947</v>
      </c>
      <c r="DM88" s="14">
        <f t="shared" si="226"/>
        <v>0.7473288588250947</v>
      </c>
      <c r="DN88" s="12"/>
      <c r="DO88" s="12"/>
      <c r="DP88" s="12"/>
      <c r="DQ88" s="12"/>
      <c r="DR88" s="12"/>
      <c r="DS88" s="12"/>
      <c r="DT88" s="24"/>
      <c r="DU88" s="24"/>
      <c r="DV88" s="24"/>
      <c r="DW88" s="24"/>
      <c r="DX88" s="24"/>
      <c r="DY88" s="24"/>
      <c r="DZ88" s="24"/>
      <c r="EA88" s="24"/>
      <c r="EB88" s="32"/>
      <c r="ED88" s="47"/>
      <c r="EE88" s="14">
        <f t="shared" si="242"/>
        <v>88.355441564771183</v>
      </c>
      <c r="EF88" s="14">
        <f t="shared" si="243"/>
        <v>85.597156457634583</v>
      </c>
      <c r="EG88" s="14">
        <f t="shared" si="244"/>
        <v>82.772091487682118</v>
      </c>
      <c r="EH88" s="14">
        <f t="shared" si="245"/>
        <v>79.879311194001062</v>
      </c>
      <c r="EI88" s="14">
        <f t="shared" si="246"/>
        <v>76.91821495158392</v>
      </c>
      <c r="EJ88" s="14">
        <f t="shared" si="247"/>
        <v>73.888463503415338</v>
      </c>
      <c r="EK88" s="14">
        <f t="shared" si="248"/>
        <v>70.789936241416683</v>
      </c>
      <c r="EL88" s="14">
        <f t="shared" si="249"/>
        <v>67.622713099887889</v>
      </c>
      <c r="EM88" s="14">
        <f t="shared" si="250"/>
        <v>64.38707677273878</v>
      </c>
      <c r="EN88" s="14">
        <f t="shared" si="251"/>
        <v>61.08353242934205</v>
      </c>
      <c r="EO88" s="14">
        <f t="shared" si="252"/>
        <v>57.712843284993852</v>
      </c>
      <c r="EP88" s="14">
        <f t="shared" si="253"/>
        <v>54.276081360246522</v>
      </c>
      <c r="EQ88" s="14">
        <f t="shared" si="254"/>
        <v>50.774693601531894</v>
      </c>
      <c r="ER88" s="14">
        <f t="shared" si="255"/>
        <v>47.210584283722135</v>
      </c>
      <c r="ES88" s="14">
        <f t="shared" si="256"/>
        <v>43.586215314461349</v>
      </c>
      <c r="ET88" s="14">
        <f t="shared" si="228"/>
        <v>39.347560607800837</v>
      </c>
      <c r="EU88" s="14">
        <f t="shared" si="229"/>
        <v>35.801989804324307</v>
      </c>
      <c r="EV88" s="14">
        <f t="shared" si="230"/>
        <v>32.290216226190793</v>
      </c>
      <c r="EW88" s="14">
        <f t="shared" si="231"/>
        <v>28.800380914086169</v>
      </c>
      <c r="EX88" s="14">
        <f t="shared" si="232"/>
        <v>25.319801594973043</v>
      </c>
      <c r="EY88" s="14">
        <f t="shared" si="233"/>
        <v>21.835057707573103</v>
      </c>
      <c r="EZ88" s="14">
        <f t="shared" si="234"/>
        <v>18.332038106399203</v>
      </c>
      <c r="FA88" s="14">
        <f t="shared" si="235"/>
        <v>14.795962034129387</v>
      </c>
      <c r="FB88" s="14">
        <f t="shared" si="236"/>
        <v>11.211383296267837</v>
      </c>
      <c r="FC88" s="14">
        <f t="shared" si="237"/>
        <v>7.5621876629349769</v>
      </c>
      <c r="FD88" s="14">
        <f t="shared" si="238"/>
        <v>3.8315944262003265</v>
      </c>
      <c r="FE88" s="12"/>
      <c r="FF88" s="12"/>
      <c r="FG88" s="12"/>
      <c r="FH88" s="12"/>
      <c r="FI88" s="12"/>
      <c r="FJ88" s="12"/>
      <c r="FK88" s="24"/>
      <c r="FL88" s="24"/>
      <c r="FM88" s="24"/>
      <c r="FN88" s="24"/>
      <c r="FO88" s="24"/>
      <c r="FP88" s="24"/>
      <c r="FQ88" s="24"/>
      <c r="FR88" s="24"/>
      <c r="FS88" s="32"/>
    </row>
    <row r="89" spans="5:175" ht="15" customHeight="1" x14ac:dyDescent="0.25">
      <c r="E89" s="46"/>
      <c r="F89" s="14">
        <v>350</v>
      </c>
      <c r="G89" s="14">
        <f t="shared" si="257"/>
        <v>343.60120803887406</v>
      </c>
      <c r="H89" s="14">
        <f t="shared" si="258"/>
        <v>332.92761064896467</v>
      </c>
      <c r="I89" s="14">
        <f t="shared" si="259"/>
        <v>321.92243299764715</v>
      </c>
      <c r="J89" s="14">
        <f t="shared" si="260"/>
        <v>310.59555085498403</v>
      </c>
      <c r="K89" s="14">
        <f t="shared" si="261"/>
        <v>298.95542943728071</v>
      </c>
      <c r="L89" s="14">
        <f t="shared" si="262"/>
        <v>287.009427100067</v>
      </c>
      <c r="M89" s="14">
        <f t="shared" si="263"/>
        <v>274.76409117698387</v>
      </c>
      <c r="N89" s="14">
        <f t="shared" si="264"/>
        <v>262.225449814721</v>
      </c>
      <c r="O89" s="14">
        <f t="shared" si="265"/>
        <v>249.39930438672454</v>
      </c>
      <c r="P89" s="14">
        <f t="shared" si="266"/>
        <v>236.29152767643012</v>
      </c>
      <c r="Q89" s="14">
        <f t="shared" si="267"/>
        <v>222.90837355881584</v>
      </c>
      <c r="R89" s="14">
        <f t="shared" si="268"/>
        <v>209.25680441471906</v>
      </c>
      <c r="S89" s="14">
        <f t="shared" si="269"/>
        <v>195.34484300900985</v>
      </c>
      <c r="T89" s="14">
        <f t="shared" si="270"/>
        <v>181.1819560618942</v>
      </c>
      <c r="U89" s="14">
        <f t="shared" si="271"/>
        <v>165.28543614165986</v>
      </c>
      <c r="V89" s="14">
        <f t="shared" si="272"/>
        <v>150.58454064606505</v>
      </c>
      <c r="W89" s="14">
        <f t="shared" si="273"/>
        <v>136.60209793350037</v>
      </c>
      <c r="X89" s="14">
        <f t="shared" si="274"/>
        <v>122.68274139417584</v>
      </c>
      <c r="Y89" s="14">
        <f t="shared" si="275"/>
        <v>108.78067652978031</v>
      </c>
      <c r="Z89" s="14">
        <f t="shared" si="276"/>
        <v>94.845068895011536</v>
      </c>
      <c r="AA89" s="14">
        <f t="shared" si="277"/>
        <v>80.820161374034186</v>
      </c>
      <c r="AB89" s="14">
        <f t="shared" si="278"/>
        <v>66.645182932079194</v>
      </c>
      <c r="AC89" s="14">
        <f t="shared" si="279"/>
        <v>52.254065602925849</v>
      </c>
      <c r="AD89" s="14">
        <f t="shared" si="280"/>
        <v>37.574979933050066</v>
      </c>
      <c r="AE89" s="14">
        <f t="shared" si="281"/>
        <v>22.529693403406384</v>
      </c>
      <c r="AF89" s="12"/>
      <c r="AG89" s="12"/>
      <c r="AH89" s="12"/>
      <c r="AI89" s="12"/>
      <c r="AJ89" s="12"/>
      <c r="AK89" s="12"/>
      <c r="AL89" s="24"/>
      <c r="AM89" s="24"/>
      <c r="AN89" s="24"/>
      <c r="AO89" s="24"/>
      <c r="AP89" s="24"/>
      <c r="AQ89" s="24"/>
      <c r="AR89" s="24"/>
      <c r="AS89" s="24"/>
      <c r="AT89" s="32"/>
      <c r="AV89" s="47"/>
      <c r="AW89" s="26">
        <f t="shared" si="240"/>
        <v>-120197000</v>
      </c>
      <c r="AX89" s="26">
        <f t="shared" si="200"/>
        <v>-116669760.52754803</v>
      </c>
      <c r="AY89" s="26">
        <f t="shared" si="200"/>
        <v>-113028921.96168604</v>
      </c>
      <c r="AZ89" s="26">
        <f t="shared" si="200"/>
        <v>-109276593.36677715</v>
      </c>
      <c r="BA89" s="26">
        <f t="shared" si="200"/>
        <v>-105415087.2335016</v>
      </c>
      <c r="BB89" s="26">
        <f t="shared" si="200"/>
        <v>-101446827.29824185</v>
      </c>
      <c r="BC89" s="26">
        <f t="shared" si="200"/>
        <v>-97374307.248262763</v>
      </c>
      <c r="BD89" s="26">
        <f t="shared" si="200"/>
        <v>-93200087.875324398</v>
      </c>
      <c r="BE89" s="26">
        <f t="shared" si="200"/>
        <v>-88926823.755353048</v>
      </c>
      <c r="BF89" s="26">
        <f t="shared" si="200"/>
        <v>-84557313.171610862</v>
      </c>
      <c r="BG89" s="26">
        <f t="shared" si="200"/>
        <v>-80094566.967466593</v>
      </c>
      <c r="BH89" s="26">
        <f t="shared" si="200"/>
        <v>-75541893.462721184</v>
      </c>
      <c r="BI89" s="26">
        <f t="shared" si="200"/>
        <v>-70902997.602383673</v>
      </c>
      <c r="BJ89" s="26">
        <f t="shared" si="200"/>
        <v>-66182093.202403128</v>
      </c>
      <c r="BK89" s="26">
        <f t="shared" si="200"/>
        <v>-61384027.557995796</v>
      </c>
      <c r="BL89" s="26">
        <f t="shared" si="200"/>
        <v>-56514417.806514703</v>
      </c>
      <c r="BM89" s="26">
        <f t="shared" si="200"/>
        <v>-51623629.918285139</v>
      </c>
      <c r="BN89" s="26">
        <f t="shared" si="200"/>
        <v>-46725143.866648749</v>
      </c>
      <c r="BO89" s="26">
        <f t="shared" si="200"/>
        <v>-41810704.281141587</v>
      </c>
      <c r="BP89" s="26">
        <f t="shared" si="200"/>
        <v>-36868842.115848385</v>
      </c>
      <c r="BQ89" s="26">
        <f t="shared" si="200"/>
        <v>-31885238.375664495</v>
      </c>
      <c r="BR89" s="26">
        <f t="shared" si="200"/>
        <v>-26842992.237625215</v>
      </c>
      <c r="BS89" s="26">
        <f t="shared" si="200"/>
        <v>-21722813.031720243</v>
      </c>
      <c r="BT89" s="26">
        <f t="shared" si="200"/>
        <v>-16503155.1587159</v>
      </c>
      <c r="BU89" s="26">
        <f t="shared" si="200"/>
        <v>-11160315.773644118</v>
      </c>
      <c r="BV89" s="26">
        <f t="shared" si="241"/>
        <v>-5668517.2088202676</v>
      </c>
      <c r="BW89" s="12"/>
      <c r="BX89" s="12"/>
      <c r="BY89" s="12"/>
      <c r="BZ89" s="12"/>
      <c r="CA89" s="12"/>
      <c r="CB89" s="12"/>
      <c r="CC89" s="24"/>
      <c r="CD89" s="24"/>
      <c r="CE89" s="24"/>
      <c r="CF89" s="24"/>
      <c r="CG89" s="24"/>
      <c r="CH89" s="24"/>
      <c r="CI89" s="24"/>
      <c r="CJ89" s="24"/>
      <c r="CK89" s="32"/>
      <c r="CM89" s="47"/>
      <c r="CN89" s="14">
        <f t="shared" si="201"/>
        <v>0.74773522113549262</v>
      </c>
      <c r="CO89" s="14">
        <f t="shared" si="202"/>
        <v>0.74773522113549262</v>
      </c>
      <c r="CP89" s="14">
        <f t="shared" si="203"/>
        <v>0.74773522113549262</v>
      </c>
      <c r="CQ89" s="14">
        <f t="shared" si="204"/>
        <v>0.74773522113549262</v>
      </c>
      <c r="CR89" s="14">
        <f t="shared" si="205"/>
        <v>0.74773522113549262</v>
      </c>
      <c r="CS89" s="14">
        <f t="shared" si="206"/>
        <v>0.74773522113549262</v>
      </c>
      <c r="CT89" s="14">
        <f t="shared" si="207"/>
        <v>0.74773522113549262</v>
      </c>
      <c r="CU89" s="14">
        <f t="shared" si="208"/>
        <v>0.74773522113549262</v>
      </c>
      <c r="CV89" s="14">
        <f t="shared" si="209"/>
        <v>0.74773522113549262</v>
      </c>
      <c r="CW89" s="14">
        <f t="shared" si="210"/>
        <v>0.74773522113549262</v>
      </c>
      <c r="CX89" s="14">
        <f t="shared" si="211"/>
        <v>0.74773522113549262</v>
      </c>
      <c r="CY89" s="14">
        <f t="shared" si="212"/>
        <v>0.74773522113549262</v>
      </c>
      <c r="CZ89" s="14">
        <f t="shared" si="213"/>
        <v>0.74773522113549262</v>
      </c>
      <c r="DA89" s="14">
        <f t="shared" si="214"/>
        <v>0.74773522113549262</v>
      </c>
      <c r="DB89" s="14">
        <f t="shared" si="215"/>
        <v>0.74773522113549262</v>
      </c>
      <c r="DC89" s="14">
        <f t="shared" si="216"/>
        <v>0.74732885891015566</v>
      </c>
      <c r="DD89" s="14">
        <f t="shared" si="217"/>
        <v>0.74732885891015566</v>
      </c>
      <c r="DE89" s="14">
        <f t="shared" si="218"/>
        <v>0.74732885891015566</v>
      </c>
      <c r="DF89" s="14">
        <f t="shared" si="219"/>
        <v>0.74732885891015566</v>
      </c>
      <c r="DG89" s="14">
        <f t="shared" si="220"/>
        <v>0.74732885891015566</v>
      </c>
      <c r="DH89" s="14">
        <f t="shared" si="221"/>
        <v>0.74732885891015566</v>
      </c>
      <c r="DI89" s="14">
        <f t="shared" si="222"/>
        <v>0.74732885891015566</v>
      </c>
      <c r="DJ89" s="14">
        <f t="shared" si="223"/>
        <v>0.74732885891015566</v>
      </c>
      <c r="DK89" s="14">
        <f t="shared" si="224"/>
        <v>0.74732885891015566</v>
      </c>
      <c r="DL89" s="14">
        <f t="shared" si="225"/>
        <v>0.74732885891015566</v>
      </c>
      <c r="DM89" s="14">
        <f t="shared" si="226"/>
        <v>0.74732885891015566</v>
      </c>
      <c r="DN89" s="12"/>
      <c r="DO89" s="12"/>
      <c r="DP89" s="12"/>
      <c r="DQ89" s="12"/>
      <c r="DR89" s="12"/>
      <c r="DS89" s="12"/>
      <c r="DT89" s="24"/>
      <c r="DU89" s="24"/>
      <c r="DV89" s="24"/>
      <c r="DW89" s="24"/>
      <c r="DX89" s="24"/>
      <c r="DY89" s="24"/>
      <c r="DZ89" s="24"/>
      <c r="EA89" s="24"/>
      <c r="EB89" s="32"/>
      <c r="ED89" s="47"/>
      <c r="EE89" s="14">
        <f t="shared" si="242"/>
        <v>88.292672602577554</v>
      </c>
      <c r="EF89" s="14">
        <f t="shared" si="243"/>
        <v>85.429817250018729</v>
      </c>
      <c r="EG89" s="14">
        <f t="shared" si="244"/>
        <v>82.513758902243552</v>
      </c>
      <c r="EH89" s="14">
        <f t="shared" si="245"/>
        <v>79.541257494945313</v>
      </c>
      <c r="EI89" s="14">
        <f t="shared" si="246"/>
        <v>76.509751964997037</v>
      </c>
      <c r="EJ89" s="14">
        <f t="shared" si="247"/>
        <v>73.417233207861401</v>
      </c>
      <c r="EK89" s="14">
        <f t="shared" si="248"/>
        <v>70.262156297834053</v>
      </c>
      <c r="EL89" s="14">
        <f t="shared" si="249"/>
        <v>67.043384966277699</v>
      </c>
      <c r="EM89" s="14">
        <f t="shared" si="250"/>
        <v>63.760163356208572</v>
      </c>
      <c r="EN89" s="14">
        <f t="shared" si="251"/>
        <v>60.412111731701422</v>
      </c>
      <c r="EO89" s="14">
        <f t="shared" si="252"/>
        <v>56.999244219181222</v>
      </c>
      <c r="EP89" s="14">
        <f t="shared" si="253"/>
        <v>53.522007877917275</v>
      </c>
      <c r="EQ89" s="14">
        <f t="shared" si="254"/>
        <v>49.981343508659172</v>
      </c>
      <c r="ER89" s="14">
        <f t="shared" si="255"/>
        <v>46.378769672773643</v>
      </c>
      <c r="ES89" s="14">
        <f t="shared" si="256"/>
        <v>42.716492463956307</v>
      </c>
      <c r="ET89" s="14">
        <f t="shared" si="228"/>
        <v>38.268217024542203</v>
      </c>
      <c r="EU89" s="14">
        <f t="shared" si="229"/>
        <v>34.741326295754824</v>
      </c>
      <c r="EV89" s="14">
        <f t="shared" si="230"/>
        <v>31.266226067231923</v>
      </c>
      <c r="EW89" s="14">
        <f t="shared" si="231"/>
        <v>27.829003863210279</v>
      </c>
      <c r="EX89" s="14">
        <f t="shared" si="232"/>
        <v>24.415619753660181</v>
      </c>
      <c r="EY89" s="14">
        <f t="shared" si="233"/>
        <v>21.011960353989437</v>
      </c>
      <c r="EZ89" s="14">
        <f t="shared" si="234"/>
        <v>17.603872504824675</v>
      </c>
      <c r="FA89" s="14">
        <f t="shared" si="235"/>
        <v>14.177189042509447</v>
      </c>
      <c r="FB89" s="14">
        <f t="shared" si="236"/>
        <v>10.717758614338404</v>
      </c>
      <c r="FC89" s="14">
        <f t="shared" si="237"/>
        <v>7.211491967732564</v>
      </c>
      <c r="FD89" s="14">
        <f t="shared" si="238"/>
        <v>3.6444385994690833</v>
      </c>
      <c r="FE89" s="12"/>
      <c r="FF89" s="12"/>
      <c r="FG89" s="12"/>
      <c r="FH89" s="12"/>
      <c r="FI89" s="12"/>
      <c r="FJ89" s="12"/>
      <c r="FK89" s="24"/>
      <c r="FL89" s="24"/>
      <c r="FM89" s="24"/>
      <c r="FN89" s="24"/>
      <c r="FO89" s="24"/>
      <c r="FP89" s="24"/>
      <c r="FQ89" s="24"/>
      <c r="FR89" s="24"/>
      <c r="FS89" s="32"/>
    </row>
    <row r="90" spans="5:175" ht="15" customHeight="1" x14ac:dyDescent="0.25">
      <c r="E90" s="46"/>
      <c r="F90" s="14">
        <v>350</v>
      </c>
      <c r="G90" s="14">
        <f t="shared" si="257"/>
        <v>342.26206563725077</v>
      </c>
      <c r="H90" s="14">
        <f t="shared" si="258"/>
        <v>331.28344346850037</v>
      </c>
      <c r="I90" s="14">
        <f t="shared" si="259"/>
        <v>320.00902915806591</v>
      </c>
      <c r="J90" s="14">
        <f t="shared" si="260"/>
        <v>308.44220999553193</v>
      </c>
      <c r="K90" s="14">
        <f t="shared" si="261"/>
        <v>296.58602859799169</v>
      </c>
      <c r="L90" s="14">
        <f t="shared" si="262"/>
        <v>284.44330296759426</v>
      </c>
      <c r="M90" s="14">
        <f t="shared" si="263"/>
        <v>272.01677425042851</v>
      </c>
      <c r="N90" s="14">
        <f t="shared" si="264"/>
        <v>259.30928063406276</v>
      </c>
      <c r="O90" s="14">
        <f t="shared" si="265"/>
        <v>246.32395793257072</v>
      </c>
      <c r="P90" s="14">
        <f t="shared" si="266"/>
        <v>233.06446924345397</v>
      </c>
      <c r="Q90" s="14">
        <f t="shared" si="267"/>
        <v>219.53526773511697</v>
      </c>
      <c r="R90" s="14">
        <f t="shared" si="268"/>
        <v>205.74189823101105</v>
      </c>
      <c r="S90" s="14">
        <f t="shared" si="269"/>
        <v>191.6913448772346</v>
      </c>
      <c r="T90" s="14">
        <f t="shared" si="270"/>
        <v>177.39243388386586</v>
      </c>
      <c r="U90" s="14">
        <f t="shared" si="271"/>
        <v>160.67092651905011</v>
      </c>
      <c r="V90" s="14">
        <f t="shared" si="272"/>
        <v>146.1818080006127</v>
      </c>
      <c r="W90" s="14">
        <f t="shared" si="273"/>
        <v>132.30082576352703</v>
      </c>
      <c r="X90" s="14">
        <f t="shared" si="274"/>
        <v>118.52164273184442</v>
      </c>
      <c r="Y90" s="14">
        <f t="shared" si="275"/>
        <v>104.79410153553124</v>
      </c>
      <c r="Z90" s="14">
        <f t="shared" si="276"/>
        <v>91.064888959826916</v>
      </c>
      <c r="AA90" s="14">
        <f t="shared" si="277"/>
        <v>77.277601959359259</v>
      </c>
      <c r="AB90" s="14">
        <f t="shared" si="278"/>
        <v>63.372666192637503</v>
      </c>
      <c r="AC90" s="14">
        <f t="shared" si="279"/>
        <v>49.287130852717951</v>
      </c>
      <c r="AD90" s="14">
        <f t="shared" si="280"/>
        <v>34.954359131333227</v>
      </c>
      <c r="AE90" s="14">
        <f t="shared" si="281"/>
        <v>20.303630809994154</v>
      </c>
      <c r="AF90" s="12"/>
      <c r="AG90" s="12"/>
      <c r="AH90" s="12"/>
      <c r="AI90" s="12"/>
      <c r="AJ90" s="12"/>
      <c r="AK90" s="12"/>
      <c r="AL90" s="24"/>
      <c r="AM90" s="24"/>
      <c r="AN90" s="24"/>
      <c r="AO90" s="24"/>
      <c r="AP90" s="24"/>
      <c r="AQ90" s="24"/>
      <c r="AR90" s="24"/>
      <c r="AS90" s="24"/>
      <c r="AT90" s="32"/>
      <c r="AV90" s="47"/>
      <c r="AW90" s="26">
        <f t="shared" si="240"/>
        <v>-120197000</v>
      </c>
      <c r="AX90" s="26">
        <f t="shared" si="200"/>
        <v>-116493278.73952162</v>
      </c>
      <c r="AY90" s="26">
        <f t="shared" si="200"/>
        <v>-112700169.19625461</v>
      </c>
      <c r="AZ90" s="26">
        <f t="shared" si="200"/>
        <v>-108815720.95662458</v>
      </c>
      <c r="BA90" s="26">
        <f t="shared" si="200"/>
        <v>-104838858.5797888</v>
      </c>
      <c r="BB90" s="26">
        <f t="shared" si="200"/>
        <v>-100769190.34995726</v>
      </c>
      <c r="BC90" s="26">
        <f t="shared" si="200"/>
        <v>-96606885.549758047</v>
      </c>
      <c r="BD90" s="26">
        <f t="shared" si="200"/>
        <v>-92352606.248169273</v>
      </c>
      <c r="BE90" s="26">
        <f t="shared" si="200"/>
        <v>-88007483.440909222</v>
      </c>
      <c r="BF90" s="26">
        <f t="shared" si="200"/>
        <v>-83573130.403267816</v>
      </c>
      <c r="BG90" s="26">
        <f t="shared" si="200"/>
        <v>-79051688.511391431</v>
      </c>
      <c r="BH90" s="26">
        <f t="shared" si="200"/>
        <v>-74445902.708845451</v>
      </c>
      <c r="BI90" s="26">
        <f t="shared" si="200"/>
        <v>-69759225.355837226</v>
      </c>
      <c r="BJ90" s="26">
        <f t="shared" si="200"/>
        <v>-64995948.484951451</v>
      </c>
      <c r="BK90" s="26">
        <f t="shared" si="200"/>
        <v>-60161365.561976388</v>
      </c>
      <c r="BL90" s="26">
        <f t="shared" si="200"/>
        <v>-55261964.755223952</v>
      </c>
      <c r="BM90" s="26">
        <f t="shared" si="200"/>
        <v>-50369770.230187751</v>
      </c>
      <c r="BN90" s="26">
        <f t="shared" si="200"/>
        <v>-45491928.758384109</v>
      </c>
      <c r="BO90" s="26">
        <f t="shared" si="200"/>
        <v>-40618971.981149226</v>
      </c>
      <c r="BP90" s="26">
        <f t="shared" si="200"/>
        <v>-35738862.280801363</v>
      </c>
      <c r="BQ90" s="26">
        <f t="shared" si="200"/>
        <v>-30837435.931375183</v>
      </c>
      <c r="BR90" s="26">
        <f t="shared" si="200"/>
        <v>-25898757.205497421</v>
      </c>
      <c r="BS90" s="26">
        <f t="shared" si="200"/>
        <v>-20905411.751298714</v>
      </c>
      <c r="BT90" s="26">
        <f t="shared" si="200"/>
        <v>-15838766.69192877</v>
      </c>
      <c r="BU90" s="26">
        <f t="shared" si="200"/>
        <v>-10679225.686603501</v>
      </c>
      <c r="BV90" s="26">
        <f t="shared" si="241"/>
        <v>-5406509.8235541722</v>
      </c>
      <c r="BW90" s="12"/>
      <c r="BX90" s="12"/>
      <c r="BY90" s="12"/>
      <c r="BZ90" s="12"/>
      <c r="CA90" s="12"/>
      <c r="CB90" s="12"/>
      <c r="CC90" s="24"/>
      <c r="CD90" s="24"/>
      <c r="CE90" s="24"/>
      <c r="CF90" s="24"/>
      <c r="CG90" s="24"/>
      <c r="CH90" s="24"/>
      <c r="CI90" s="24"/>
      <c r="CJ90" s="24"/>
      <c r="CK90" s="32"/>
      <c r="CM90" s="47"/>
      <c r="CN90" s="14">
        <f t="shared" si="201"/>
        <v>0.74805605884208004</v>
      </c>
      <c r="CO90" s="14">
        <f t="shared" si="202"/>
        <v>0.74805605884208004</v>
      </c>
      <c r="CP90" s="14">
        <f t="shared" si="203"/>
        <v>0.74805605884208004</v>
      </c>
      <c r="CQ90" s="14">
        <f t="shared" si="204"/>
        <v>0.74805605884208004</v>
      </c>
      <c r="CR90" s="14">
        <f t="shared" si="205"/>
        <v>0.74805605884208004</v>
      </c>
      <c r="CS90" s="14">
        <f t="shared" si="206"/>
        <v>0.74805605884208004</v>
      </c>
      <c r="CT90" s="14">
        <f t="shared" si="207"/>
        <v>0.74805605884208004</v>
      </c>
      <c r="CU90" s="14">
        <f t="shared" si="208"/>
        <v>0.74805605884208004</v>
      </c>
      <c r="CV90" s="14">
        <f t="shared" si="209"/>
        <v>0.74805605884208004</v>
      </c>
      <c r="CW90" s="14">
        <f t="shared" si="210"/>
        <v>0.74805605884208004</v>
      </c>
      <c r="CX90" s="14">
        <f t="shared" si="211"/>
        <v>0.74805605884208004</v>
      </c>
      <c r="CY90" s="14">
        <f t="shared" si="212"/>
        <v>0.74805605884208004</v>
      </c>
      <c r="CZ90" s="14">
        <f t="shared" si="213"/>
        <v>0.74805605884208004</v>
      </c>
      <c r="DA90" s="14">
        <f t="shared" si="214"/>
        <v>0.74805605884208004</v>
      </c>
      <c r="DB90" s="14">
        <f t="shared" si="215"/>
        <v>0.74805605884208004</v>
      </c>
      <c r="DC90" s="14">
        <f t="shared" si="216"/>
        <v>0.74732885906245794</v>
      </c>
      <c r="DD90" s="14">
        <f t="shared" si="217"/>
        <v>0.74732885906245794</v>
      </c>
      <c r="DE90" s="14">
        <f t="shared" si="218"/>
        <v>0.74732885906245794</v>
      </c>
      <c r="DF90" s="14">
        <f t="shared" si="219"/>
        <v>0.74732885906245794</v>
      </c>
      <c r="DG90" s="14">
        <f t="shared" si="220"/>
        <v>0.74732885906245794</v>
      </c>
      <c r="DH90" s="14">
        <f t="shared" si="221"/>
        <v>0.74732885906245794</v>
      </c>
      <c r="DI90" s="14">
        <f t="shared" si="222"/>
        <v>0.74732885906245794</v>
      </c>
      <c r="DJ90" s="14">
        <f t="shared" si="223"/>
        <v>0.74732885906245794</v>
      </c>
      <c r="DK90" s="14">
        <f t="shared" si="224"/>
        <v>0.74732885906245794</v>
      </c>
      <c r="DL90" s="14">
        <f t="shared" si="225"/>
        <v>0.74732885906245794</v>
      </c>
      <c r="DM90" s="14">
        <f t="shared" si="226"/>
        <v>0.74732885906245794</v>
      </c>
      <c r="DN90" s="12"/>
      <c r="DO90" s="12"/>
      <c r="DP90" s="12"/>
      <c r="DQ90" s="12"/>
      <c r="DR90" s="12"/>
      <c r="DS90" s="12"/>
      <c r="DT90" s="24"/>
      <c r="DU90" s="24"/>
      <c r="DV90" s="24"/>
      <c r="DW90" s="24"/>
      <c r="DX90" s="24"/>
      <c r="DY90" s="24"/>
      <c r="DZ90" s="24"/>
      <c r="EA90" s="24"/>
      <c r="EB90" s="32"/>
      <c r="ED90" s="47"/>
      <c r="EE90" s="14">
        <f t="shared" si="242"/>
        <v>88.180379405271964</v>
      </c>
      <c r="EF90" s="14">
        <f t="shared" si="243"/>
        <v>85.229100138313044</v>
      </c>
      <c r="EG90" s="14">
        <f t="shared" si="244"/>
        <v>82.234927166725328</v>
      </c>
      <c r="EH90" s="14">
        <f t="shared" si="245"/>
        <v>79.19300267699245</v>
      </c>
      <c r="EI90" s="14">
        <f t="shared" si="246"/>
        <v>76.09932632906775</v>
      </c>
      <c r="EJ90" s="14">
        <f t="shared" si="247"/>
        <v>72.950608283697917</v>
      </c>
      <c r="EK90" s="14">
        <f t="shared" si="248"/>
        <v>69.744162080594833</v>
      </c>
      <c r="EL90" s="14">
        <f t="shared" si="249"/>
        <v>66.477831093248014</v>
      </c>
      <c r="EM90" s="14">
        <f t="shared" si="250"/>
        <v>63.149944117570939</v>
      </c>
      <c r="EN90" s="14">
        <f t="shared" si="251"/>
        <v>59.75929721508129</v>
      </c>
      <c r="EO90" s="14">
        <f t="shared" si="252"/>
        <v>56.305160312049367</v>
      </c>
      <c r="EP90" s="14">
        <f t="shared" si="253"/>
        <v>52.787308327811068</v>
      </c>
      <c r="EQ90" s="14">
        <f t="shared" si="254"/>
        <v>49.206077834648347</v>
      </c>
      <c r="ER90" s="14">
        <f t="shared" si="255"/>
        <v>45.562451500789834</v>
      </c>
      <c r="ES90" s="14">
        <f t="shared" si="256"/>
        <v>41.858173898906372</v>
      </c>
      <c r="ET90" s="14">
        <f t="shared" si="228"/>
        <v>37.148350107662722</v>
      </c>
      <c r="EU90" s="14">
        <f t="shared" si="229"/>
        <v>33.64563504714458</v>
      </c>
      <c r="EV90" s="14">
        <f t="shared" si="230"/>
        <v>30.214135769346051</v>
      </c>
      <c r="EW90" s="14">
        <f t="shared" si="231"/>
        <v>26.837289579080416</v>
      </c>
      <c r="EX90" s="14">
        <f t="shared" si="232"/>
        <v>23.499162656488217</v>
      </c>
      <c r="EY90" s="14">
        <f t="shared" si="233"/>
        <v>20.184431834817726</v>
      </c>
      <c r="EZ90" s="14">
        <f t="shared" si="234"/>
        <v>16.878362970458564</v>
      </c>
      <c r="FA90" s="14">
        <f t="shared" si="235"/>
        <v>13.566797669997959</v>
      </c>
      <c r="FB90" s="14">
        <f t="shared" si="236"/>
        <v>10.236159624308547</v>
      </c>
      <c r="FC90" s="14">
        <f t="shared" si="237"/>
        <v>6.8734922486721661</v>
      </c>
      <c r="FD90" s="14">
        <f t="shared" si="238"/>
        <v>3.4665407437994764</v>
      </c>
      <c r="FE90" s="12"/>
      <c r="FF90" s="12"/>
      <c r="FG90" s="12"/>
      <c r="FH90" s="12"/>
      <c r="FI90" s="12"/>
      <c r="FJ90" s="12"/>
      <c r="FK90" s="24"/>
      <c r="FL90" s="24"/>
      <c r="FM90" s="24"/>
      <c r="FN90" s="24"/>
      <c r="FO90" s="24"/>
      <c r="FP90" s="24"/>
      <c r="FQ90" s="24"/>
      <c r="FR90" s="24"/>
      <c r="FS90" s="32"/>
    </row>
    <row r="91" spans="5:175" ht="15" customHeight="1" x14ac:dyDescent="0.25">
      <c r="E91" s="46"/>
      <c r="F91" s="14">
        <v>350</v>
      </c>
      <c r="G91" s="14">
        <f t="shared" si="257"/>
        <v>341.1832117534442</v>
      </c>
      <c r="H91" s="14">
        <f t="shared" si="258"/>
        <v>329.90524418845837</v>
      </c>
      <c r="I91" s="14">
        <f t="shared" si="259"/>
        <v>318.36472478038485</v>
      </c>
      <c r="J91" s="14">
        <f t="shared" si="260"/>
        <v>306.55910922983026</v>
      </c>
      <c r="K91" s="14">
        <f t="shared" si="261"/>
        <v>294.486374920684</v>
      </c>
      <c r="L91" s="14">
        <f t="shared" si="262"/>
        <v>282.14499812750284</v>
      </c>
      <c r="M91" s="14">
        <f t="shared" si="263"/>
        <v>269.53398328529425</v>
      </c>
      <c r="N91" s="14">
        <f t="shared" si="264"/>
        <v>256.65293974057886</v>
      </c>
      <c r="O91" s="14">
        <f t="shared" si="265"/>
        <v>243.50220432168447</v>
      </c>
      <c r="P91" s="14">
        <f t="shared" si="266"/>
        <v>230.08301069012842</v>
      </c>
      <c r="Q91" s="14">
        <f t="shared" si="267"/>
        <v>216.39770891060925</v>
      </c>
      <c r="R91" s="14">
        <f t="shared" si="268"/>
        <v>202.45004113552608</v>
      </c>
      <c r="S91" s="14">
        <f t="shared" si="269"/>
        <v>188.24548186306842</v>
      </c>
      <c r="T91" s="14">
        <f t="shared" si="270"/>
        <v>173.7916540148974</v>
      </c>
      <c r="U91" s="14">
        <f t="shared" si="271"/>
        <v>156.03543302329319</v>
      </c>
      <c r="V91" s="14">
        <f t="shared" si="272"/>
        <v>141.7372808958028</v>
      </c>
      <c r="W91" s="14">
        <f t="shared" si="273"/>
        <v>127.98532991826173</v>
      </c>
      <c r="X91" s="14">
        <f t="shared" si="274"/>
        <v>114.38137256847341</v>
      </c>
      <c r="Y91" s="14">
        <f t="shared" si="275"/>
        <v>100.86959820012066</v>
      </c>
      <c r="Z91" s="14">
        <f t="shared" si="276"/>
        <v>87.393183710017553</v>
      </c>
      <c r="AA91" s="14">
        <f t="shared" si="277"/>
        <v>73.89422584303901</v>
      </c>
      <c r="AB91" s="14">
        <f t="shared" si="278"/>
        <v>60.313589570752235</v>
      </c>
      <c r="AC91" s="14">
        <f t="shared" si="279"/>
        <v>46.590698536716921</v>
      </c>
      <c r="AD91" s="14">
        <f t="shared" si="280"/>
        <v>32.663290649586273</v>
      </c>
      <c r="AE91" s="14">
        <f t="shared" si="281"/>
        <v>18.467161019868996</v>
      </c>
      <c r="AF91" s="12"/>
      <c r="AG91" s="12"/>
      <c r="AH91" s="12"/>
      <c r="AI91" s="12"/>
      <c r="AJ91" s="12"/>
      <c r="AK91" s="12"/>
      <c r="AL91" s="24"/>
      <c r="AM91" s="24"/>
      <c r="AN91" s="24"/>
      <c r="AO91" s="24"/>
      <c r="AP91" s="24"/>
      <c r="AQ91" s="24"/>
      <c r="AR91" s="24"/>
      <c r="AS91" s="24"/>
      <c r="AT91" s="32"/>
      <c r="AV91" s="47"/>
      <c r="AW91" s="26">
        <f t="shared" si="240"/>
        <v>-120197000</v>
      </c>
      <c r="AX91" s="26">
        <f t="shared" si="200"/>
        <v>-116339272.52513841</v>
      </c>
      <c r="AY91" s="26">
        <f t="shared" si="200"/>
        <v>-112410651.36851394</v>
      </c>
      <c r="AZ91" s="26">
        <f t="shared" si="200"/>
        <v>-108406391.73557265</v>
      </c>
      <c r="BA91" s="26">
        <f t="shared" si="200"/>
        <v>-104322989.84892532</v>
      </c>
      <c r="BB91" s="26">
        <f t="shared" si="200"/>
        <v>-100157958.2718699</v>
      </c>
      <c r="BC91" s="26">
        <f t="shared" si="200"/>
        <v>-95909672.750770539</v>
      </c>
      <c r="BD91" s="26">
        <f t="shared" si="200"/>
        <v>-91577278.161046475</v>
      </c>
      <c r="BE91" s="26">
        <f t="shared" si="200"/>
        <v>-87160644.663231939</v>
      </c>
      <c r="BF91" s="26">
        <f t="shared" si="200"/>
        <v>-82660368.071917683</v>
      </c>
      <c r="BG91" s="26">
        <f t="shared" si="200"/>
        <v>-78077810.873170123</v>
      </c>
      <c r="BH91" s="26">
        <f t="shared" si="200"/>
        <v>-73415182.426088721</v>
      </c>
      <c r="BI91" s="26">
        <f t="shared" si="200"/>
        <v>-68675658.758284941</v>
      </c>
      <c r="BJ91" s="26">
        <f t="shared" si="200"/>
        <v>-63863544.101221822</v>
      </c>
      <c r="BK91" s="26">
        <f t="shared" si="200"/>
        <v>-58984477.982665196</v>
      </c>
      <c r="BL91" s="26">
        <f t="shared" si="200"/>
        <v>-54045693.360975623</v>
      </c>
      <c r="BM91" s="26">
        <f t="shared" si="200"/>
        <v>-49146205.978255175</v>
      </c>
      <c r="BN91" s="26">
        <f t="shared" si="200"/>
        <v>-44286937.090339206</v>
      </c>
      <c r="BO91" s="26">
        <f t="shared" si="200"/>
        <v>-39456219.482558183</v>
      </c>
      <c r="BP91" s="26">
        <f t="shared" si="200"/>
        <v>-34640483.23185508</v>
      </c>
      <c r="BQ91" s="26">
        <f t="shared" si="200"/>
        <v>-29824733.80971095</v>
      </c>
      <c r="BR91" s="26">
        <f t="shared" si="200"/>
        <v>-24992938.187164582</v>
      </c>
      <c r="BS91" s="26">
        <f t="shared" si="200"/>
        <v>-20128353.91206523</v>
      </c>
      <c r="BT91" s="26">
        <f t="shared" si="200"/>
        <v>-15213833.719136942</v>
      </c>
      <c r="BU91" s="26">
        <f t="shared" si="200"/>
        <v>-10232137.842879845</v>
      </c>
      <c r="BV91" s="26">
        <f t="shared" si="241"/>
        <v>-5166287.8838521494</v>
      </c>
      <c r="BW91" s="12"/>
      <c r="BX91" s="12"/>
      <c r="BY91" s="12"/>
      <c r="BZ91" s="12"/>
      <c r="CA91" s="12"/>
      <c r="CB91" s="12"/>
      <c r="CC91" s="24"/>
      <c r="CD91" s="24"/>
      <c r="CE91" s="24"/>
      <c r="CF91" s="24"/>
      <c r="CG91" s="24"/>
      <c r="CH91" s="24"/>
      <c r="CI91" s="24"/>
      <c r="CJ91" s="24"/>
      <c r="CK91" s="32"/>
      <c r="CM91" s="47"/>
      <c r="CN91" s="14">
        <f t="shared" si="201"/>
        <v>0.74862965128437076</v>
      </c>
      <c r="CO91" s="14">
        <f t="shared" si="202"/>
        <v>0.74862965128437076</v>
      </c>
      <c r="CP91" s="14">
        <f t="shared" si="203"/>
        <v>0.74862965128437076</v>
      </c>
      <c r="CQ91" s="14">
        <f t="shared" si="204"/>
        <v>0.74862965128437076</v>
      </c>
      <c r="CR91" s="14">
        <f t="shared" si="205"/>
        <v>0.74862965128437076</v>
      </c>
      <c r="CS91" s="14">
        <f t="shared" si="206"/>
        <v>0.74862965128437076</v>
      </c>
      <c r="CT91" s="14">
        <f t="shared" si="207"/>
        <v>0.74862965128437076</v>
      </c>
      <c r="CU91" s="14">
        <f t="shared" si="208"/>
        <v>0.74862965128437076</v>
      </c>
      <c r="CV91" s="14">
        <f t="shared" si="209"/>
        <v>0.74862965128437076</v>
      </c>
      <c r="CW91" s="14">
        <f t="shared" si="210"/>
        <v>0.74862965128437076</v>
      </c>
      <c r="CX91" s="14">
        <f t="shared" si="211"/>
        <v>0.74862965128437076</v>
      </c>
      <c r="CY91" s="14">
        <f t="shared" si="212"/>
        <v>0.74862965128437076</v>
      </c>
      <c r="CZ91" s="14">
        <f t="shared" si="213"/>
        <v>0.74862965128437076</v>
      </c>
      <c r="DA91" s="14">
        <f t="shared" si="214"/>
        <v>0.74862965128437076</v>
      </c>
      <c r="DB91" s="14">
        <f t="shared" si="215"/>
        <v>0.74862965128437076</v>
      </c>
      <c r="DC91" s="14">
        <f t="shared" si="216"/>
        <v>0.7473288593351568</v>
      </c>
      <c r="DD91" s="14">
        <f t="shared" si="217"/>
        <v>0.7473288593351568</v>
      </c>
      <c r="DE91" s="14">
        <f t="shared" si="218"/>
        <v>0.7473288593351568</v>
      </c>
      <c r="DF91" s="14">
        <f t="shared" si="219"/>
        <v>0.7473288593351568</v>
      </c>
      <c r="DG91" s="14">
        <f t="shared" si="220"/>
        <v>0.7473288593351568</v>
      </c>
      <c r="DH91" s="14">
        <f t="shared" si="221"/>
        <v>0.7473288593351568</v>
      </c>
      <c r="DI91" s="14">
        <f t="shared" si="222"/>
        <v>0.7473288593351568</v>
      </c>
      <c r="DJ91" s="14">
        <f t="shared" si="223"/>
        <v>0.7473288593351568</v>
      </c>
      <c r="DK91" s="14">
        <f t="shared" si="224"/>
        <v>0.7473288593351568</v>
      </c>
      <c r="DL91" s="14">
        <f t="shared" si="225"/>
        <v>0.7473288593351568</v>
      </c>
      <c r="DM91" s="14">
        <f t="shared" si="226"/>
        <v>0.7473288593351568</v>
      </c>
      <c r="DN91" s="12"/>
      <c r="DO91" s="12"/>
      <c r="DP91" s="12"/>
      <c r="DQ91" s="12"/>
      <c r="DR91" s="12"/>
      <c r="DS91" s="12"/>
      <c r="DT91" s="24"/>
      <c r="DU91" s="24"/>
      <c r="DV91" s="24"/>
      <c r="DW91" s="24"/>
      <c r="DX91" s="24"/>
      <c r="DY91" s="24"/>
      <c r="DZ91" s="24"/>
      <c r="EA91" s="24"/>
      <c r="EB91" s="32"/>
      <c r="ED91" s="47"/>
      <c r="EE91" s="14">
        <f t="shared" si="242"/>
        <v>87.979622050470198</v>
      </c>
      <c r="EF91" s="14">
        <f t="shared" si="243"/>
        <v>84.955680907560748</v>
      </c>
      <c r="EG91" s="14">
        <f t="shared" si="244"/>
        <v>81.896635428349398</v>
      </c>
      <c r="EH91" s="14">
        <f t="shared" si="245"/>
        <v>78.796476873931923</v>
      </c>
      <c r="EI91" s="14">
        <f t="shared" si="246"/>
        <v>75.650125119494561</v>
      </c>
      <c r="EJ91" s="14">
        <f t="shared" si="247"/>
        <v>72.453279755553083</v>
      </c>
      <c r="EK91" s="14">
        <f t="shared" si="248"/>
        <v>69.202307416698147</v>
      </c>
      <c r="EL91" s="14">
        <f t="shared" si="249"/>
        <v>65.894160434696559</v>
      </c>
      <c r="EM91" s="14">
        <f t="shared" si="250"/>
        <v>62.526323404699383</v>
      </c>
      <c r="EN91" s="14">
        <f t="shared" si="251"/>
        <v>59.096785591638053</v>
      </c>
      <c r="EO91" s="14">
        <f t="shared" si="252"/>
        <v>55.604038353624532</v>
      </c>
      <c r="EP91" s="14">
        <f t="shared" si="253"/>
        <v>52.047097981447656</v>
      </c>
      <c r="EQ91" s="14">
        <f t="shared" si="254"/>
        <v>48.425555608259785</v>
      </c>
      <c r="ER91" s="14">
        <f t="shared" si="255"/>
        <v>44.739657193392212</v>
      </c>
      <c r="ES91" s="14">
        <f t="shared" si="256"/>
        <v>40.990418095933123</v>
      </c>
      <c r="ET91" s="14">
        <f t="shared" si="228"/>
        <v>35.961412779488676</v>
      </c>
      <c r="EU91" s="14">
        <f t="shared" si="229"/>
        <v>32.491397067154018</v>
      </c>
      <c r="EV91" s="14">
        <f t="shared" si="230"/>
        <v>29.113104711305756</v>
      </c>
      <c r="EW91" s="14">
        <f t="shared" si="231"/>
        <v>25.806728499155138</v>
      </c>
      <c r="EX91" s="14">
        <f t="shared" si="232"/>
        <v>22.553941834519495</v>
      </c>
      <c r="EY91" s="14">
        <f t="shared" si="233"/>
        <v>19.337764118187401</v>
      </c>
      <c r="EZ91" s="14">
        <f t="shared" si="234"/>
        <v>16.142443718594773</v>
      </c>
      <c r="FA91" s="14">
        <f t="shared" si="235"/>
        <v>12.953367231980799</v>
      </c>
      <c r="FB91" s="14">
        <f t="shared" si="236"/>
        <v>9.7570032566526042</v>
      </c>
      <c r="FC91" s="14">
        <f t="shared" si="237"/>
        <v>6.540889311175591</v>
      </c>
      <c r="FD91" s="14">
        <f t="shared" si="238"/>
        <v>3.2936717662739179</v>
      </c>
      <c r="FE91" s="12"/>
      <c r="FF91" s="12"/>
      <c r="FG91" s="12"/>
      <c r="FH91" s="12"/>
      <c r="FI91" s="12"/>
      <c r="FJ91" s="12"/>
      <c r="FK91" s="24"/>
      <c r="FL91" s="24"/>
      <c r="FM91" s="24"/>
      <c r="FN91" s="24"/>
      <c r="FO91" s="24"/>
      <c r="FP91" s="24"/>
      <c r="FQ91" s="24"/>
      <c r="FR91" s="24"/>
      <c r="FS91" s="32"/>
    </row>
    <row r="92" spans="5:175" ht="15" customHeight="1" x14ac:dyDescent="0.25">
      <c r="E92" s="46"/>
      <c r="F92" s="14">
        <v>350</v>
      </c>
      <c r="G92" s="14">
        <f t="shared" si="257"/>
        <v>340.31079221173457</v>
      </c>
      <c r="H92" s="14">
        <f t="shared" si="258"/>
        <v>328.74729555286581</v>
      </c>
      <c r="I92" s="14">
        <f t="shared" si="259"/>
        <v>316.95087364860115</v>
      </c>
      <c r="J92" s="14">
        <f t="shared" si="260"/>
        <v>304.91370484293043</v>
      </c>
      <c r="K92" s="14">
        <f t="shared" si="261"/>
        <v>292.62914726412049</v>
      </c>
      <c r="L92" s="14">
        <f t="shared" si="262"/>
        <v>280.09160933372402</v>
      </c>
      <c r="M92" s="14">
        <f t="shared" si="263"/>
        <v>267.29648644423696</v>
      </c>
      <c r="N92" s="14">
        <f t="shared" si="264"/>
        <v>254.24015802681578</v>
      </c>
      <c r="O92" s="14">
        <f t="shared" si="265"/>
        <v>240.92004248598116</v>
      </c>
      <c r="P92" s="14">
        <f t="shared" si="266"/>
        <v>227.33471050944814</v>
      </c>
      <c r="Q92" s="14">
        <f t="shared" si="267"/>
        <v>213.48406022739326</v>
      </c>
      <c r="R92" s="14">
        <f t="shared" si="268"/>
        <v>199.36956074861763</v>
      </c>
      <c r="S92" s="14">
        <f t="shared" si="269"/>
        <v>184.9945738937264</v>
      </c>
      <c r="T92" s="14">
        <f t="shared" si="270"/>
        <v>170.3647676382501</v>
      </c>
      <c r="U92" s="14">
        <f t="shared" si="271"/>
        <v>151.28551043497004</v>
      </c>
      <c r="V92" s="14">
        <f t="shared" si="272"/>
        <v>137.17564210616243</v>
      </c>
      <c r="W92" s="14">
        <f t="shared" si="273"/>
        <v>123.58669599095421</v>
      </c>
      <c r="X92" s="14">
        <f t="shared" si="274"/>
        <v>110.19747839637279</v>
      </c>
      <c r="Y92" s="14">
        <f t="shared" si="275"/>
        <v>96.945133218448973</v>
      </c>
      <c r="Z92" s="14">
        <f t="shared" si="276"/>
        <v>83.768203171646846</v>
      </c>
      <c r="AA92" s="14">
        <f t="shared" si="277"/>
        <v>70.606326555537635</v>
      </c>
      <c r="AB92" s="14">
        <f t="shared" si="278"/>
        <v>57.399920664867594</v>
      </c>
      <c r="AC92" s="14">
        <f t="shared" si="279"/>
        <v>44.089874174034904</v>
      </c>
      <c r="AD92" s="14">
        <f t="shared" si="280"/>
        <v>30.617269290227647</v>
      </c>
      <c r="AE92" s="14">
        <f t="shared" si="281"/>
        <v>16.923155049045146</v>
      </c>
      <c r="AF92" s="12"/>
      <c r="AG92" s="12"/>
      <c r="AH92" s="12"/>
      <c r="AI92" s="12"/>
      <c r="AJ92" s="12"/>
      <c r="AK92" s="24"/>
      <c r="AL92" s="24"/>
      <c r="AM92" s="24"/>
      <c r="AN92" s="24"/>
      <c r="AO92" s="24"/>
      <c r="AP92" s="24"/>
      <c r="AQ92" s="24"/>
      <c r="AR92" s="24"/>
      <c r="AS92" s="24"/>
      <c r="AT92" s="32"/>
      <c r="AV92" s="47"/>
      <c r="AW92" s="26">
        <f t="shared" si="240"/>
        <v>-120197000</v>
      </c>
      <c r="AX92" s="26">
        <f t="shared" si="200"/>
        <v>-116204424.01832028</v>
      </c>
      <c r="AY92" s="26">
        <f t="shared" si="200"/>
        <v>-112155029.2623066</v>
      </c>
      <c r="AZ92" s="26">
        <f t="shared" si="200"/>
        <v>-108042130.25578162</v>
      </c>
      <c r="BA92" s="26">
        <f t="shared" si="200"/>
        <v>-103860449.9663478</v>
      </c>
      <c r="BB92" s="26">
        <f t="shared" si="200"/>
        <v>-99605898.468695164</v>
      </c>
      <c r="BC92" s="26">
        <f t="shared" si="200"/>
        <v>-95275418.407846376</v>
      </c>
      <c r="BD92" s="26">
        <f t="shared" si="200"/>
        <v>-90866887.859554365</v>
      </c>
      <c r="BE92" s="26">
        <f t="shared" si="200"/>
        <v>-86379074.147151798</v>
      </c>
      <c r="BF92" s="26">
        <f t="shared" si="200"/>
        <v>-81811634.755551085</v>
      </c>
      <c r="BG92" s="26">
        <f t="shared" si="200"/>
        <v>-77165163.80882141</v>
      </c>
      <c r="BH92" s="26">
        <f t="shared" si="200"/>
        <v>-72441284.757580429</v>
      </c>
      <c r="BI92" s="26">
        <f t="shared" si="200"/>
        <v>-67642792.05552718</v>
      </c>
      <c r="BJ92" s="26">
        <f t="shared" si="200"/>
        <v>-62773846.783464395</v>
      </c>
      <c r="BK92" s="26">
        <f t="shared" si="200"/>
        <v>-57840233.493660629</v>
      </c>
      <c r="BL92" s="26">
        <f t="shared" si="200"/>
        <v>-52849688.086773142</v>
      </c>
      <c r="BM92" s="26">
        <f t="shared" si="200"/>
        <v>-47935619.24644421</v>
      </c>
      <c r="BN92" s="26">
        <f t="shared" si="200"/>
        <v>-43092178.764244393</v>
      </c>
      <c r="BO92" s="26">
        <f t="shared" si="200"/>
        <v>-38304269.435038343</v>
      </c>
      <c r="BP92" s="26">
        <f t="shared" si="200"/>
        <v>-33555678.398671895</v>
      </c>
      <c r="BQ92" s="26">
        <f t="shared" si="200"/>
        <v>-28829536.159506988</v>
      </c>
      <c r="BR92" s="26">
        <f t="shared" si="200"/>
        <v>-24108678.472965952</v>
      </c>
      <c r="BS92" s="26">
        <f t="shared" si="200"/>
        <v>-19375950.910427492</v>
      </c>
      <c r="BT92" s="26">
        <f t="shared" si="200"/>
        <v>-14614491.408801973</v>
      </c>
      <c r="BU92" s="26">
        <f t="shared" si="200"/>
        <v>-9808023.9671040419</v>
      </c>
      <c r="BV92" s="26">
        <f t="shared" si="241"/>
        <v>-4941196.7312624957</v>
      </c>
      <c r="BW92" s="12"/>
      <c r="BX92" s="12"/>
      <c r="BY92" s="12"/>
      <c r="BZ92" s="12"/>
      <c r="CA92" s="12"/>
      <c r="CB92" s="24"/>
      <c r="CC92" s="24"/>
      <c r="CD92" s="24"/>
      <c r="CE92" s="24"/>
      <c r="CF92" s="24"/>
      <c r="CG92" s="24"/>
      <c r="CH92" s="24"/>
      <c r="CI92" s="24"/>
      <c r="CJ92" s="24"/>
      <c r="CK92" s="32"/>
      <c r="CM92" s="47"/>
      <c r="CN92" s="14">
        <f t="shared" si="201"/>
        <v>0.74965389250761272</v>
      </c>
      <c r="CO92" s="14">
        <f t="shared" si="202"/>
        <v>0.74965389250761272</v>
      </c>
      <c r="CP92" s="14">
        <f t="shared" si="203"/>
        <v>0.74965389250761272</v>
      </c>
      <c r="CQ92" s="14">
        <f t="shared" si="204"/>
        <v>0.74965389250761272</v>
      </c>
      <c r="CR92" s="14">
        <f t="shared" si="205"/>
        <v>0.74965389250761272</v>
      </c>
      <c r="CS92" s="14">
        <f t="shared" si="206"/>
        <v>0.74965389250761272</v>
      </c>
      <c r="CT92" s="14">
        <f t="shared" si="207"/>
        <v>0.74965389250761272</v>
      </c>
      <c r="CU92" s="14">
        <f t="shared" si="208"/>
        <v>0.74965389250761272</v>
      </c>
      <c r="CV92" s="14">
        <f t="shared" si="209"/>
        <v>0.74965389250761272</v>
      </c>
      <c r="CW92" s="14">
        <f t="shared" si="210"/>
        <v>0.74965389250761272</v>
      </c>
      <c r="CX92" s="14">
        <f t="shared" si="211"/>
        <v>0.74965389250761272</v>
      </c>
      <c r="CY92" s="14">
        <f t="shared" si="212"/>
        <v>0.74965389250761272</v>
      </c>
      <c r="CZ92" s="14">
        <f t="shared" si="213"/>
        <v>0.74965389250761272</v>
      </c>
      <c r="DA92" s="14">
        <f t="shared" si="214"/>
        <v>0.74965389250761272</v>
      </c>
      <c r="DB92" s="14">
        <f t="shared" si="215"/>
        <v>0.74965389250761272</v>
      </c>
      <c r="DC92" s="14">
        <f t="shared" si="216"/>
        <v>0.74732885982342656</v>
      </c>
      <c r="DD92" s="14">
        <f t="shared" si="217"/>
        <v>0.74732885982342656</v>
      </c>
      <c r="DE92" s="14">
        <f t="shared" si="218"/>
        <v>0.74732885982342656</v>
      </c>
      <c r="DF92" s="14">
        <f t="shared" si="219"/>
        <v>0.74732885982342656</v>
      </c>
      <c r="DG92" s="14">
        <f t="shared" si="220"/>
        <v>0.74732885982342656</v>
      </c>
      <c r="DH92" s="14">
        <f t="shared" si="221"/>
        <v>0.74732885982342656</v>
      </c>
      <c r="DI92" s="14">
        <f t="shared" si="222"/>
        <v>0.74732885982342656</v>
      </c>
      <c r="DJ92" s="14">
        <f t="shared" si="223"/>
        <v>0.74732885982342656</v>
      </c>
      <c r="DK92" s="14">
        <f t="shared" si="224"/>
        <v>0.74732885982342656</v>
      </c>
      <c r="DL92" s="14">
        <f t="shared" si="225"/>
        <v>0.74732885982342656</v>
      </c>
      <c r="DM92" s="14">
        <f t="shared" si="226"/>
        <v>0.74732885982342656</v>
      </c>
      <c r="DN92" s="12"/>
      <c r="DO92" s="12"/>
      <c r="DP92" s="12"/>
      <c r="DQ92" s="12"/>
      <c r="DR92" s="12"/>
      <c r="DS92" s="24"/>
      <c r="DT92" s="24"/>
      <c r="DU92" s="24"/>
      <c r="DV92" s="24"/>
      <c r="DW92" s="24"/>
      <c r="DX92" s="24"/>
      <c r="DY92" s="24"/>
      <c r="DZ92" s="24"/>
      <c r="EA92" s="24"/>
      <c r="EB92" s="32"/>
      <c r="ED92" s="47"/>
      <c r="EE92" s="14">
        <f t="shared" si="242"/>
        <v>87.621137622335553</v>
      </c>
      <c r="EF92" s="14">
        <f t="shared" si="243"/>
        <v>84.541469462516034</v>
      </c>
      <c r="EG92" s="14">
        <f t="shared" si="244"/>
        <v>81.432545088313503</v>
      </c>
      <c r="EH92" s="14">
        <f t="shared" si="245"/>
        <v>78.287518479870783</v>
      </c>
      <c r="EI92" s="14">
        <f t="shared" si="246"/>
        <v>75.100475325121721</v>
      </c>
      <c r="EJ92" s="14">
        <f t="shared" si="247"/>
        <v>71.866290014373519</v>
      </c>
      <c r="EK92" s="14">
        <f t="shared" si="248"/>
        <v>68.580513235888432</v>
      </c>
      <c r="EL92" s="14">
        <f t="shared" si="249"/>
        <v>65.239286711334316</v>
      </c>
      <c r="EM92" s="14">
        <f t="shared" si="250"/>
        <v>61.839282726769042</v>
      </c>
      <c r="EN92" s="14">
        <f t="shared" si="251"/>
        <v>58.377667182046359</v>
      </c>
      <c r="EO92" s="14">
        <f t="shared" si="252"/>
        <v>54.852085945722706</v>
      </c>
      <c r="EP92" s="14">
        <f t="shared" si="253"/>
        <v>51.260675412825726</v>
      </c>
      <c r="EQ92" s="14">
        <f t="shared" si="254"/>
        <v>47.602099373044183</v>
      </c>
      <c r="ER92" s="14">
        <f t="shared" si="255"/>
        <v>43.875615668105951</v>
      </c>
      <c r="ES92" s="14">
        <f t="shared" si="256"/>
        <v>40.081177720645982</v>
      </c>
      <c r="ET92" s="14">
        <f t="shared" si="228"/>
        <v>34.6757281816177</v>
      </c>
      <c r="EU92" s="14">
        <f t="shared" si="229"/>
        <v>31.251281579829374</v>
      </c>
      <c r="EV92" s="14">
        <f t="shared" si="230"/>
        <v>27.93956530901459</v>
      </c>
      <c r="EW92" s="14">
        <f t="shared" si="231"/>
        <v>24.71697764973699</v>
      </c>
      <c r="EX92" s="14">
        <f t="shared" si="232"/>
        <v>21.562371404705647</v>
      </c>
      <c r="EY92" s="14">
        <f t="shared" si="233"/>
        <v>18.456754833300163</v>
      </c>
      <c r="EZ92" s="14">
        <f t="shared" si="234"/>
        <v>15.383039008724507</v>
      </c>
      <c r="FA92" s="14">
        <f t="shared" si="235"/>
        <v>12.325834539099215</v>
      </c>
      <c r="FB92" s="14">
        <f t="shared" si="236"/>
        <v>9.2713005582132553</v>
      </c>
      <c r="FC92" s="14">
        <f t="shared" si="237"/>
        <v>6.2070495309911484</v>
      </c>
      <c r="FD92" s="14">
        <f t="shared" si="238"/>
        <v>3.122112659890822</v>
      </c>
      <c r="FE92" s="12"/>
      <c r="FF92" s="12"/>
      <c r="FG92" s="12"/>
      <c r="FH92" s="12"/>
      <c r="FI92" s="12"/>
      <c r="FJ92" s="24"/>
      <c r="FK92" s="24"/>
      <c r="FL92" s="24"/>
      <c r="FM92" s="24"/>
      <c r="FN92" s="24"/>
      <c r="FO92" s="24"/>
      <c r="FP92" s="24"/>
      <c r="FQ92" s="24"/>
      <c r="FR92" s="24"/>
      <c r="FS92" s="32"/>
    </row>
    <row r="93" spans="5:175" ht="15" customHeight="1" x14ac:dyDescent="0.25">
      <c r="E93" s="46"/>
      <c r="F93" s="14">
        <v>350</v>
      </c>
      <c r="G93" s="14">
        <f t="shared" si="257"/>
        <v>339.60382248172476</v>
      </c>
      <c r="H93" s="14">
        <f t="shared" si="258"/>
        <v>327.77426407559625</v>
      </c>
      <c r="I93" s="14">
        <f t="shared" si="259"/>
        <v>315.73730579358869</v>
      </c>
      <c r="J93" s="14">
        <f t="shared" si="260"/>
        <v>303.48049313036171</v>
      </c>
      <c r="K93" s="14">
        <f t="shared" si="261"/>
        <v>290.99301495202189</v>
      </c>
      <c r="L93" s="14">
        <f t="shared" si="262"/>
        <v>278.26549468659721</v>
      </c>
      <c r="M93" s="14">
        <f t="shared" si="263"/>
        <v>265.28985316415611</v>
      </c>
      <c r="N93" s="14">
        <f t="shared" si="264"/>
        <v>252.05923723902706</v>
      </c>
      <c r="O93" s="14">
        <f t="shared" si="265"/>
        <v>238.56801155450282</v>
      </c>
      <c r="P93" s="14">
        <f t="shared" si="266"/>
        <v>224.81181392934826</v>
      </c>
      <c r="Q93" s="14">
        <f t="shared" si="267"/>
        <v>210.78767801325958</v>
      </c>
      <c r="R93" s="14">
        <f t="shared" si="268"/>
        <v>196.49423023652582</v>
      </c>
      <c r="S93" s="14">
        <f t="shared" si="269"/>
        <v>181.93197184058315</v>
      </c>
      <c r="T93" s="14">
        <f t="shared" si="270"/>
        <v>167.10366111450509</v>
      </c>
      <c r="U93" s="14">
        <f t="shared" si="271"/>
        <v>146.31289677868776</v>
      </c>
      <c r="V93" s="14">
        <f t="shared" si="272"/>
        <v>132.40834156668475</v>
      </c>
      <c r="W93" s="14">
        <f t="shared" si="273"/>
        <v>119.02636165891263</v>
      </c>
      <c r="X93" s="14">
        <f t="shared" si="274"/>
        <v>105.89909382522838</v>
      </c>
      <c r="Y93" s="14">
        <f t="shared" si="275"/>
        <v>92.955299891306623</v>
      </c>
      <c r="Z93" s="14">
        <f t="shared" si="276"/>
        <v>80.127834616783574</v>
      </c>
      <c r="AA93" s="14">
        <f t="shared" si="277"/>
        <v>67.352990997572761</v>
      </c>
      <c r="AB93" s="14">
        <f t="shared" si="278"/>
        <v>54.569915899356424</v>
      </c>
      <c r="AC93" s="14">
        <f t="shared" si="279"/>
        <v>41.720107816339222</v>
      </c>
      <c r="AD93" s="14">
        <f t="shared" si="280"/>
        <v>28.747008789711295</v>
      </c>
      <c r="AE93" s="14">
        <f t="shared" si="281"/>
        <v>15.59570459455975</v>
      </c>
      <c r="AF93" s="12"/>
      <c r="AG93" s="12"/>
      <c r="AH93" s="12"/>
      <c r="AI93" s="12"/>
      <c r="AJ93" s="12"/>
      <c r="AK93" s="24"/>
      <c r="AL93" s="24"/>
      <c r="AM93" s="24"/>
      <c r="AN93" s="24"/>
      <c r="AO93" s="24"/>
      <c r="AP93" s="24"/>
      <c r="AQ93" s="24"/>
      <c r="AR93" s="24"/>
      <c r="AS93" s="24"/>
      <c r="AT93" s="32"/>
      <c r="AV93" s="47"/>
      <c r="AW93" s="26">
        <f t="shared" si="240"/>
        <v>-120197000</v>
      </c>
      <c r="AX93" s="26">
        <f t="shared" si="200"/>
        <v>-116086159.09575835</v>
      </c>
      <c r="AY93" s="26">
        <f t="shared" si="200"/>
        <v>-111929137.11839859</v>
      </c>
      <c r="AZ93" s="26">
        <f t="shared" si="200"/>
        <v>-107717859.85114452</v>
      </c>
      <c r="BA93" s="26">
        <f t="shared" si="200"/>
        <v>-103445702.78592134</v>
      </c>
      <c r="BB93" s="26">
        <f t="shared" si="200"/>
        <v>-99107290.59154579</v>
      </c>
      <c r="BC93" s="26">
        <f t="shared" si="200"/>
        <v>-94698355.083792716</v>
      </c>
      <c r="BD93" s="26">
        <f t="shared" si="200"/>
        <v>-90215645.690002412</v>
      </c>
      <c r="BE93" s="26">
        <f t="shared" si="200"/>
        <v>-85656888.783358142</v>
      </c>
      <c r="BF93" s="26">
        <f t="shared" si="200"/>
        <v>-81020794.506903902</v>
      </c>
      <c r="BG93" s="26">
        <f t="shared" si="200"/>
        <v>-76307111.911867261</v>
      </c>
      <c r="BH93" s="26">
        <f t="shared" si="200"/>
        <v>-71516735.495727718</v>
      </c>
      <c r="BI93" s="26">
        <f t="shared" si="200"/>
        <v>-66651868.642927781</v>
      </c>
      <c r="BJ93" s="26">
        <f t="shared" si="200"/>
        <v>-61716252.152580395</v>
      </c>
      <c r="BK93" s="26">
        <f t="shared" si="200"/>
        <v>-56715469.101695679</v>
      </c>
      <c r="BL93" s="26">
        <f t="shared" si="200"/>
        <v>-51657340.873825327</v>
      </c>
      <c r="BM93" s="26">
        <f t="shared" si="200"/>
        <v>-46719714.269924745</v>
      </c>
      <c r="BN93" s="26">
        <f t="shared" si="200"/>
        <v>-41888705.190749273</v>
      </c>
      <c r="BO93" s="26">
        <f t="shared" si="200"/>
        <v>-37144206.520087831</v>
      </c>
      <c r="BP93" s="26">
        <f t="shared" si="200"/>
        <v>-32466028.890762489</v>
      </c>
      <c r="BQ93" s="26">
        <f t="shared" si="200"/>
        <v>-27834265.909803759</v>
      </c>
      <c r="BR93" s="26">
        <f t="shared" si="200"/>
        <v>-23229563.480500504</v>
      </c>
      <c r="BS93" s="26">
        <f t="shared" si="200"/>
        <v>-18633335.436213724</v>
      </c>
      <c r="BT93" s="26">
        <f t="shared" si="200"/>
        <v>-14027961.051021228</v>
      </c>
      <c r="BU93" s="26">
        <f t="shared" si="200"/>
        <v>-9396996.0346760321</v>
      </c>
      <c r="BV93" s="26">
        <f t="shared" si="241"/>
        <v>-4725427.0088738343</v>
      </c>
      <c r="BW93" s="12"/>
      <c r="BX93" s="12"/>
      <c r="BY93" s="12"/>
      <c r="BZ93" s="12"/>
      <c r="CA93" s="12"/>
      <c r="CB93" s="24"/>
      <c r="CC93" s="24"/>
      <c r="CD93" s="24"/>
      <c r="CE93" s="24"/>
      <c r="CF93" s="24"/>
      <c r="CG93" s="24"/>
      <c r="CH93" s="24"/>
      <c r="CI93" s="24"/>
      <c r="CJ93" s="24"/>
      <c r="CK93" s="32"/>
      <c r="CM93" s="47"/>
      <c r="CN93" s="14">
        <f t="shared" si="201"/>
        <v>0.75147894107579372</v>
      </c>
      <c r="CO93" s="14">
        <f t="shared" si="202"/>
        <v>0.75147894107579372</v>
      </c>
      <c r="CP93" s="14">
        <f t="shared" si="203"/>
        <v>0.75147894107579372</v>
      </c>
      <c r="CQ93" s="14">
        <f t="shared" si="204"/>
        <v>0.75147894107579372</v>
      </c>
      <c r="CR93" s="14">
        <f t="shared" si="205"/>
        <v>0.75147894107579372</v>
      </c>
      <c r="CS93" s="14">
        <f t="shared" si="206"/>
        <v>0.75147894107579372</v>
      </c>
      <c r="CT93" s="14">
        <f t="shared" si="207"/>
        <v>0.75147894107579372</v>
      </c>
      <c r="CU93" s="14">
        <f t="shared" si="208"/>
        <v>0.75147894107579372</v>
      </c>
      <c r="CV93" s="14">
        <f t="shared" si="209"/>
        <v>0.75147894107579372</v>
      </c>
      <c r="CW93" s="14">
        <f t="shared" si="210"/>
        <v>0.75147894107579372</v>
      </c>
      <c r="CX93" s="14">
        <f t="shared" si="211"/>
        <v>0.75147894107579372</v>
      </c>
      <c r="CY93" s="14">
        <f t="shared" si="212"/>
        <v>0.75147894107579372</v>
      </c>
      <c r="CZ93" s="14">
        <f t="shared" si="213"/>
        <v>0.75147894107579372</v>
      </c>
      <c r="DA93" s="14">
        <f t="shared" si="214"/>
        <v>0.75147894107579372</v>
      </c>
      <c r="DB93" s="14">
        <f t="shared" si="215"/>
        <v>0.75147894107579372</v>
      </c>
      <c r="DC93" s="14">
        <f t="shared" si="216"/>
        <v>0.7473288606976779</v>
      </c>
      <c r="DD93" s="14">
        <f t="shared" si="217"/>
        <v>0.7473288606976779</v>
      </c>
      <c r="DE93" s="14">
        <f t="shared" si="218"/>
        <v>0.7473288606976779</v>
      </c>
      <c r="DF93" s="14">
        <f t="shared" si="219"/>
        <v>0.7473288606976779</v>
      </c>
      <c r="DG93" s="14">
        <f t="shared" si="220"/>
        <v>0.7473288606976779</v>
      </c>
      <c r="DH93" s="14">
        <f t="shared" si="221"/>
        <v>0.7473288606976779</v>
      </c>
      <c r="DI93" s="14">
        <f t="shared" si="222"/>
        <v>0.7473288606976779</v>
      </c>
      <c r="DJ93" s="14">
        <f t="shared" si="223"/>
        <v>0.7473288606976779</v>
      </c>
      <c r="DK93" s="14">
        <f t="shared" si="224"/>
        <v>0.7473288606976779</v>
      </c>
      <c r="DL93" s="14">
        <f t="shared" si="225"/>
        <v>0.7473288606976779</v>
      </c>
      <c r="DM93" s="14">
        <f t="shared" si="226"/>
        <v>0.7473288606976779</v>
      </c>
      <c r="DN93" s="12"/>
      <c r="DO93" s="12"/>
      <c r="DP93" s="12"/>
      <c r="DQ93" s="12"/>
      <c r="DR93" s="12"/>
      <c r="DS93" s="24"/>
      <c r="DT93" s="24"/>
      <c r="DU93" s="24"/>
      <c r="DV93" s="24"/>
      <c r="DW93" s="24"/>
      <c r="DX93" s="24"/>
      <c r="DY93" s="24"/>
      <c r="DZ93" s="24"/>
      <c r="EA93" s="24"/>
      <c r="EB93" s="32"/>
      <c r="ED93" s="47"/>
      <c r="EE93" s="14">
        <f t="shared" si="242"/>
        <v>86.98237062347215</v>
      </c>
      <c r="EF93" s="14">
        <f t="shared" si="243"/>
        <v>83.867428713786012</v>
      </c>
      <c r="EG93" s="14">
        <f t="shared" si="244"/>
        <v>80.727594531997639</v>
      </c>
      <c r="EH93" s="14">
        <f t="shared" si="245"/>
        <v>77.555398891090249</v>
      </c>
      <c r="EI93" s="14">
        <f t="shared" si="246"/>
        <v>74.344265095499225</v>
      </c>
      <c r="EJ93" s="14">
        <f t="shared" si="247"/>
        <v>71.088373238068115</v>
      </c>
      <c r="EK93" s="14">
        <f t="shared" si="248"/>
        <v>67.78254870027537</v>
      </c>
      <c r="EL93" s="14">
        <f t="shared" si="249"/>
        <v>64.422172577760691</v>
      </c>
      <c r="EM93" s="14">
        <f t="shared" si="250"/>
        <v>61.003112506093082</v>
      </c>
      <c r="EN93" s="14">
        <f t="shared" si="251"/>
        <v>57.521673143202463</v>
      </c>
      <c r="EO93" s="14">
        <f t="shared" si="252"/>
        <v>53.974566405936045</v>
      </c>
      <c r="EP93" s="14">
        <f t="shared" si="253"/>
        <v>50.35890249701712</v>
      </c>
      <c r="EQ93" s="14">
        <f t="shared" si="254"/>
        <v>46.672203842408528</v>
      </c>
      <c r="ER93" s="14">
        <f t="shared" si="255"/>
        <v>42.912445346157959</v>
      </c>
      <c r="ES93" s="14">
        <f t="shared" si="256"/>
        <v>39.078125933089233</v>
      </c>
      <c r="ET93" s="14">
        <f t="shared" si="228"/>
        <v>33.252868625254933</v>
      </c>
      <c r="EU93" s="14">
        <f t="shared" si="229"/>
        <v>29.893025236013973</v>
      </c>
      <c r="EV93" s="14">
        <f t="shared" si="230"/>
        <v>26.666456946602548</v>
      </c>
      <c r="EW93" s="14">
        <f t="shared" si="231"/>
        <v>23.545337843510126</v>
      </c>
      <c r="EX93" s="14">
        <f t="shared" si="232"/>
        <v>20.505403932978531</v>
      </c>
      <c r="EY93" s="14">
        <f t="shared" si="233"/>
        <v>17.525438777825133</v>
      </c>
      <c r="EZ93" s="14">
        <f t="shared" si="234"/>
        <v>14.586845414774627</v>
      </c>
      <c r="FA93" s="14">
        <f t="shared" si="235"/>
        <v>11.673298584743824</v>
      </c>
      <c r="FB93" s="14">
        <f t="shared" si="236"/>
        <v>8.7704723815537466</v>
      </c>
      <c r="FC93" s="14">
        <f t="shared" si="237"/>
        <v>5.8658398133714664</v>
      </c>
      <c r="FD93" s="14">
        <f t="shared" si="238"/>
        <v>2.9485424123466863</v>
      </c>
      <c r="FE93" s="12"/>
      <c r="FF93" s="12"/>
      <c r="FG93" s="12"/>
      <c r="FH93" s="12"/>
      <c r="FI93" s="12"/>
      <c r="FJ93" s="24"/>
      <c r="FK93" s="24"/>
      <c r="FL93" s="24"/>
      <c r="FM93" s="24"/>
      <c r="FN93" s="24"/>
      <c r="FO93" s="24"/>
      <c r="FP93" s="24"/>
      <c r="FQ93" s="24"/>
      <c r="FR93" s="24"/>
      <c r="FS93" s="32"/>
    </row>
    <row r="94" spans="5:175" ht="15" customHeight="1" x14ac:dyDescent="0.25">
      <c r="E94" s="46"/>
      <c r="F94" s="14">
        <v>350</v>
      </c>
      <c r="G94" s="14">
        <f t="shared" si="257"/>
        <v>339.0313267867686</v>
      </c>
      <c r="H94" s="14">
        <f t="shared" si="258"/>
        <v>326.95921783475524</v>
      </c>
      <c r="I94" s="14">
        <f t="shared" si="259"/>
        <v>314.70101298944439</v>
      </c>
      <c r="J94" s="14">
        <f t="shared" si="260"/>
        <v>302.24020882199886</v>
      </c>
      <c r="K94" s="14">
        <f t="shared" si="261"/>
        <v>289.56223851138537</v>
      </c>
      <c r="L94" s="14">
        <f t="shared" si="262"/>
        <v>276.65420120899239</v>
      </c>
      <c r="M94" s="14">
        <f t="shared" si="263"/>
        <v>263.50466159642161</v>
      </c>
      <c r="N94" s="14">
        <f t="shared" si="264"/>
        <v>250.10351408040964</v>
      </c>
      <c r="O94" s="14">
        <f t="shared" si="265"/>
        <v>236.44190898649302</v>
      </c>
      <c r="P94" s="14">
        <f t="shared" si="266"/>
        <v>222.51224103774331</v>
      </c>
      <c r="Q94" s="14">
        <f t="shared" si="267"/>
        <v>208.30820348260499</v>
      </c>
      <c r="R94" s="14">
        <f t="shared" si="268"/>
        <v>193.82491462615044</v>
      </c>
      <c r="S94" s="14">
        <f t="shared" si="269"/>
        <v>179.05912740358735</v>
      </c>
      <c r="T94" s="14">
        <f t="shared" si="270"/>
        <v>164.00953722714007</v>
      </c>
      <c r="U94" s="14">
        <f t="shared" si="271"/>
        <v>140.98939609203524</v>
      </c>
      <c r="V94" s="14">
        <f t="shared" si="272"/>
        <v>127.33058291549219</v>
      </c>
      <c r="W94" s="14">
        <f t="shared" si="273"/>
        <v>114.2141188517851</v>
      </c>
      <c r="X94" s="14">
        <f t="shared" si="274"/>
        <v>101.40758992109194</v>
      </c>
      <c r="Y94" s="14">
        <f t="shared" si="275"/>
        <v>88.83031238453988</v>
      </c>
      <c r="Z94" s="14">
        <f t="shared" si="276"/>
        <v>76.408668811744192</v>
      </c>
      <c r="AA94" s="14">
        <f t="shared" si="277"/>
        <v>64.074978993808372</v>
      </c>
      <c r="AB94" s="14">
        <f t="shared" si="278"/>
        <v>51.766544238806254</v>
      </c>
      <c r="AC94" s="14">
        <f t="shared" si="279"/>
        <v>39.424858467416172</v>
      </c>
      <c r="AD94" s="14">
        <f t="shared" si="280"/>
        <v>26.994982548868229</v>
      </c>
      <c r="AE94" s="14">
        <f t="shared" si="281"/>
        <v>14.425082464201189</v>
      </c>
      <c r="AF94" s="12"/>
      <c r="AG94" s="12"/>
      <c r="AH94" s="12"/>
      <c r="AI94" s="12"/>
      <c r="AJ94" s="12"/>
      <c r="AK94" s="24"/>
      <c r="AL94" s="24"/>
      <c r="AM94" s="24"/>
      <c r="AN94" s="24"/>
      <c r="AO94" s="24"/>
      <c r="AP94" s="24"/>
      <c r="AQ94" s="24"/>
      <c r="AR94" s="24"/>
      <c r="AS94" s="24"/>
      <c r="AT94" s="32"/>
      <c r="AV94" s="47"/>
      <c r="AW94" s="26">
        <f t="shared" si="240"/>
        <v>-120197000</v>
      </c>
      <c r="AX94" s="26">
        <f t="shared" si="200"/>
        <v>-115982532.6665698</v>
      </c>
      <c r="AY94" s="26">
        <f t="shared" si="200"/>
        <v>-111729827.34612894</v>
      </c>
      <c r="AZ94" s="26">
        <f t="shared" si="200"/>
        <v>-107429751.65820499</v>
      </c>
      <c r="BA94" s="26">
        <f t="shared" si="200"/>
        <v>-103074586.08673485</v>
      </c>
      <c r="BB94" s="26">
        <f t="shared" si="200"/>
        <v>-98657848.689908609</v>
      </c>
      <c r="BC94" s="26">
        <f t="shared" si="200"/>
        <v>-94174168.717839494</v>
      </c>
      <c r="BD94" s="26">
        <f t="shared" si="200"/>
        <v>-89619206.281290337</v>
      </c>
      <c r="BE94" s="26">
        <f t="shared" si="200"/>
        <v>-84989617.089428216</v>
      </c>
      <c r="BF94" s="26">
        <f t="shared" si="200"/>
        <v>-80283063.228428945</v>
      </c>
      <c r="BG94" s="26">
        <f t="shared" si="200"/>
        <v>-75498273.067027986</v>
      </c>
      <c r="BH94" s="26">
        <f t="shared" si="200"/>
        <v>-70635155.744627565</v>
      </c>
      <c r="BI94" s="26">
        <f t="shared" si="200"/>
        <v>-65694978.434451126</v>
      </c>
      <c r="BJ94" s="26">
        <f t="shared" si="200"/>
        <v>-60680617.81282948</v>
      </c>
      <c r="BK94" s="26">
        <f t="shared" si="200"/>
        <v>-55596901.068710253</v>
      </c>
      <c r="BL94" s="26">
        <f t="shared" si="200"/>
        <v>-50451056.553604051</v>
      </c>
      <c r="BM94" s="26">
        <f t="shared" si="200"/>
        <v>-45478842.298566349</v>
      </c>
      <c r="BN94" s="26">
        <f t="shared" si="200"/>
        <v>-40656209.964942679</v>
      </c>
      <c r="BO94" s="26">
        <f t="shared" si="200"/>
        <v>-35955978.436809763</v>
      </c>
      <c r="BP94" s="26">
        <f t="shared" si="200"/>
        <v>-31352330.273113597</v>
      </c>
      <c r="BQ94" s="26">
        <f t="shared" si="200"/>
        <v>-26820973.249067318</v>
      </c>
      <c r="BR94" s="26">
        <f t="shared" si="200"/>
        <v>-22339224.88472617</v>
      </c>
      <c r="BS94" s="26">
        <f t="shared" si="200"/>
        <v>-17886060.306578092</v>
      </c>
      <c r="BT94" s="26">
        <f t="shared" si="200"/>
        <v>-13442155.568974594</v>
      </c>
      <c r="BU94" s="26">
        <f t="shared" si="200"/>
        <v>-8989953.2808480971</v>
      </c>
      <c r="BV94" s="26">
        <f t="shared" si="241"/>
        <v>-4513774.4995698994</v>
      </c>
      <c r="BW94" s="12"/>
      <c r="BX94" s="12"/>
      <c r="BY94" s="12"/>
      <c r="BZ94" s="12"/>
      <c r="CA94" s="12"/>
      <c r="CB94" s="24"/>
      <c r="CC94" s="24"/>
      <c r="CD94" s="24"/>
      <c r="CE94" s="24"/>
      <c r="CF94" s="24"/>
      <c r="CG94" s="24"/>
      <c r="CH94" s="24"/>
      <c r="CI94" s="24"/>
      <c r="CJ94" s="24"/>
      <c r="CK94" s="32"/>
      <c r="CM94" s="47"/>
      <c r="CN94" s="14">
        <f t="shared" si="201"/>
        <v>0.75471858151374849</v>
      </c>
      <c r="CO94" s="14">
        <f t="shared" si="202"/>
        <v>0.75471858151374849</v>
      </c>
      <c r="CP94" s="14">
        <f t="shared" si="203"/>
        <v>0.75471858151374849</v>
      </c>
      <c r="CQ94" s="14">
        <f t="shared" si="204"/>
        <v>0.75471858151374849</v>
      </c>
      <c r="CR94" s="14">
        <f t="shared" si="205"/>
        <v>0.75471858151374849</v>
      </c>
      <c r="CS94" s="14">
        <f t="shared" si="206"/>
        <v>0.75471858151374849</v>
      </c>
      <c r="CT94" s="14">
        <f t="shared" si="207"/>
        <v>0.75471858151374849</v>
      </c>
      <c r="CU94" s="14">
        <f t="shared" si="208"/>
        <v>0.75471858151374849</v>
      </c>
      <c r="CV94" s="14">
        <f t="shared" si="209"/>
        <v>0.75471858151374849</v>
      </c>
      <c r="CW94" s="14">
        <f t="shared" si="210"/>
        <v>0.75471858151374849</v>
      </c>
      <c r="CX94" s="14">
        <f t="shared" si="211"/>
        <v>0.75471858151374849</v>
      </c>
      <c r="CY94" s="14">
        <f t="shared" si="212"/>
        <v>0.75471858151374849</v>
      </c>
      <c r="CZ94" s="14">
        <f t="shared" si="213"/>
        <v>0.75471858151374849</v>
      </c>
      <c r="DA94" s="14">
        <f t="shared" si="214"/>
        <v>0.75471858151374849</v>
      </c>
      <c r="DB94" s="14">
        <f t="shared" si="215"/>
        <v>0.75471858151374849</v>
      </c>
      <c r="DC94" s="14">
        <f t="shared" si="216"/>
        <v>0.74732886226303263</v>
      </c>
      <c r="DD94" s="14">
        <f t="shared" si="217"/>
        <v>0.74732886226303263</v>
      </c>
      <c r="DE94" s="14">
        <f t="shared" si="218"/>
        <v>0.74732886226303263</v>
      </c>
      <c r="DF94" s="14">
        <f t="shared" si="219"/>
        <v>0.74732886226303263</v>
      </c>
      <c r="DG94" s="14">
        <f t="shared" si="220"/>
        <v>0.74732886226303263</v>
      </c>
      <c r="DH94" s="14">
        <f t="shared" si="221"/>
        <v>0.74732886226303263</v>
      </c>
      <c r="DI94" s="14">
        <f t="shared" si="222"/>
        <v>0.74732886226303263</v>
      </c>
      <c r="DJ94" s="14">
        <f t="shared" si="223"/>
        <v>0.74732886226303263</v>
      </c>
      <c r="DK94" s="14">
        <f t="shared" si="224"/>
        <v>0.74732886226303263</v>
      </c>
      <c r="DL94" s="14">
        <f t="shared" si="225"/>
        <v>0.74732886226303263</v>
      </c>
      <c r="DM94" s="14">
        <f t="shared" si="226"/>
        <v>0.74732886226303263</v>
      </c>
      <c r="DN94" s="12"/>
      <c r="DO94" s="12"/>
      <c r="DP94" s="12"/>
      <c r="DQ94" s="12"/>
      <c r="DR94" s="12"/>
      <c r="DS94" s="24"/>
      <c r="DT94" s="24"/>
      <c r="DU94" s="24"/>
      <c r="DV94" s="24"/>
      <c r="DW94" s="24"/>
      <c r="DX94" s="24"/>
      <c r="DY94" s="24"/>
      <c r="DZ94" s="24"/>
      <c r="EA94" s="24"/>
      <c r="EB94" s="32"/>
      <c r="ED94" s="47"/>
      <c r="EE94" s="14">
        <f t="shared" si="242"/>
        <v>85.848496470187996</v>
      </c>
      <c r="EF94" s="14">
        <f t="shared" si="243"/>
        <v>82.726011606714451</v>
      </c>
      <c r="EG94" s="14">
        <f t="shared" si="244"/>
        <v>79.581890194908397</v>
      </c>
      <c r="EH94" s="14">
        <f t="shared" si="245"/>
        <v>76.408201429934508</v>
      </c>
      <c r="EI94" s="14">
        <f t="shared" si="246"/>
        <v>73.197841529559369</v>
      </c>
      <c r="EJ94" s="14">
        <f t="shared" si="247"/>
        <v>69.944403036386404</v>
      </c>
      <c r="EK94" s="14">
        <f t="shared" si="248"/>
        <v>66.64206177490226</v>
      </c>
      <c r="EL94" s="14">
        <f t="shared" si="249"/>
        <v>63.285479926379068</v>
      </c>
      <c r="EM94" s="14">
        <f t="shared" si="250"/>
        <v>59.869724093933726</v>
      </c>
      <c r="EN94" s="14">
        <f t="shared" si="251"/>
        <v>56.390197711523093</v>
      </c>
      <c r="EO94" s="14">
        <f t="shared" si="252"/>
        <v>52.842587721452801</v>
      </c>
      <c r="EP94" s="14">
        <f t="shared" si="253"/>
        <v>49.22282613186097</v>
      </c>
      <c r="EQ94" s="14">
        <f t="shared" si="254"/>
        <v>45.527067906403765</v>
      </c>
      <c r="ER94" s="14">
        <f t="shared" si="255"/>
        <v>41.751687684063185</v>
      </c>
      <c r="ES94" s="14">
        <f t="shared" si="256"/>
        <v>37.893299145046662</v>
      </c>
      <c r="ET94" s="14">
        <f t="shared" si="228"/>
        <v>31.645545408009966</v>
      </c>
      <c r="EU94" s="14">
        <f t="shared" si="229"/>
        <v>28.378007658326645</v>
      </c>
      <c r="EV94" s="14">
        <f t="shared" si="230"/>
        <v>25.262283413921683</v>
      </c>
      <c r="EW94" s="14">
        <f t="shared" si="231"/>
        <v>22.266140617997873</v>
      </c>
      <c r="EX94" s="14">
        <f t="shared" si="232"/>
        <v>19.362133875450695</v>
      </c>
      <c r="EY94" s="14">
        <f t="shared" si="233"/>
        <v>16.526825331982884</v>
      </c>
      <c r="EZ94" s="14">
        <f t="shared" si="234"/>
        <v>13.740144861580042</v>
      </c>
      <c r="FA94" s="14">
        <f t="shared" si="235"/>
        <v>10.984871075950844</v>
      </c>
      <c r="FB94" s="14">
        <f t="shared" si="236"/>
        <v>8.2462177595403254</v>
      </c>
      <c r="FC94" s="14">
        <f t="shared" si="237"/>
        <v>5.5115131765878882</v>
      </c>
      <c r="FD94" s="14">
        <f t="shared" si="238"/>
        <v>2.7699622933584993</v>
      </c>
      <c r="FE94" s="12"/>
      <c r="FF94" s="12"/>
      <c r="FG94" s="12"/>
      <c r="FH94" s="12"/>
      <c r="FI94" s="12"/>
      <c r="FJ94" s="24"/>
      <c r="FK94" s="24"/>
      <c r="FL94" s="24"/>
      <c r="FM94" s="24"/>
      <c r="FN94" s="24"/>
      <c r="FO94" s="24"/>
      <c r="FP94" s="24"/>
      <c r="FQ94" s="24"/>
      <c r="FR94" s="24"/>
      <c r="FS94" s="32"/>
    </row>
    <row r="95" spans="5:175" ht="15" customHeight="1" x14ac:dyDescent="0.25">
      <c r="E95" s="46"/>
      <c r="F95" s="14">
        <v>350</v>
      </c>
      <c r="G95" s="14">
        <f t="shared" si="257"/>
        <v>338.5701757630917</v>
      </c>
      <c r="H95" s="14">
        <f t="shared" si="258"/>
        <v>326.28210871895971</v>
      </c>
      <c r="I95" s="14">
        <f t="shared" si="259"/>
        <v>313.82513566356636</v>
      </c>
      <c r="J95" s="14">
        <f t="shared" si="260"/>
        <v>301.17921466958535</v>
      </c>
      <c r="K95" s="14">
        <f t="shared" si="261"/>
        <v>288.32639123982142</v>
      </c>
      <c r="L95" s="14">
        <f t="shared" si="262"/>
        <v>275.25047416455999</v>
      </c>
      <c r="M95" s="14">
        <f t="shared" si="263"/>
        <v>261.93677465658584</v>
      </c>
      <c r="N95" s="14">
        <f t="shared" si="264"/>
        <v>248.37190328897287</v>
      </c>
      <c r="O95" s="14">
        <f t="shared" si="265"/>
        <v>234.54362163134704</v>
      </c>
      <c r="P95" s="14">
        <f t="shared" si="266"/>
        <v>220.44074793473385</v>
      </c>
      <c r="Q95" s="14">
        <f t="shared" si="267"/>
        <v>206.05311887617148</v>
      </c>
      <c r="R95" s="14">
        <f t="shared" si="268"/>
        <v>191.37161238554162</v>
      </c>
      <c r="S95" s="14">
        <f t="shared" si="269"/>
        <v>176.38824011089767</v>
      </c>
      <c r="T95" s="14">
        <f t="shared" si="270"/>
        <v>161.09632234620153</v>
      </c>
      <c r="U95" s="14">
        <f t="shared" si="271"/>
        <v>135.1603038263585</v>
      </c>
      <c r="V95" s="14">
        <f t="shared" si="272"/>
        <v>121.817258713621</v>
      </c>
      <c r="W95" s="14">
        <f t="shared" si="273"/>
        <v>109.04545881359724</v>
      </c>
      <c r="X95" s="14">
        <f t="shared" si="274"/>
        <v>96.634846239316616</v>
      </c>
      <c r="Y95" s="14">
        <f t="shared" si="275"/>
        <v>84.494821297172408</v>
      </c>
      <c r="Z95" s="14">
        <f t="shared" si="276"/>
        <v>72.545048229158027</v>
      </c>
      <c r="AA95" s="14">
        <f t="shared" si="277"/>
        <v>60.713734254055808</v>
      </c>
      <c r="AB95" s="14">
        <f t="shared" si="278"/>
        <v>48.936208975249308</v>
      </c>
      <c r="AC95" s="14">
        <f t="shared" si="279"/>
        <v>37.153770642350203</v>
      </c>
      <c r="AD95" s="14">
        <f t="shared" si="280"/>
        <v>25.312773130434177</v>
      </c>
      <c r="AE95" s="14">
        <f t="shared" si="281"/>
        <v>13.363934791625233</v>
      </c>
      <c r="AF95" s="12"/>
      <c r="AG95" s="12"/>
      <c r="AH95" s="12"/>
      <c r="AI95" s="12"/>
      <c r="AJ95" s="12"/>
      <c r="AK95" s="24"/>
      <c r="AL95" s="24"/>
      <c r="AM95" s="24"/>
      <c r="AN95" s="24"/>
      <c r="AO95" s="24"/>
      <c r="AP95" s="24"/>
      <c r="AQ95" s="24"/>
      <c r="AR95" s="24"/>
      <c r="AS95" s="24"/>
      <c r="AT95" s="32"/>
      <c r="AV95" s="47"/>
      <c r="AW95" s="26">
        <f t="shared" si="240"/>
        <v>-120197000</v>
      </c>
      <c r="AX95" s="26">
        <f t="shared" si="200"/>
        <v>-115892145.05164993</v>
      </c>
      <c r="AY95" s="26">
        <f t="shared" si="200"/>
        <v>-111554859.57655004</v>
      </c>
      <c r="AZ95" s="26">
        <f t="shared" si="200"/>
        <v>-107175121.39243867</v>
      </c>
      <c r="BA95" s="26">
        <f t="shared" si="200"/>
        <v>-102744236.97600564</v>
      </c>
      <c r="BB95" s="26">
        <f t="shared" si="200"/>
        <v>-98254686.776561141</v>
      </c>
      <c r="BC95" s="26">
        <f t="shared" si="200"/>
        <v>-93700009.579408512</v>
      </c>
      <c r="BD95" s="26">
        <f t="shared" si="200"/>
        <v>-89074725.549911171</v>
      </c>
      <c r="BE95" s="26">
        <f t="shared" si="200"/>
        <v>-84374299.037233889</v>
      </c>
      <c r="BF95" s="26">
        <f t="shared" si="200"/>
        <v>-79595143.917527571</v>
      </c>
      <c r="BG95" s="26">
        <f t="shared" si="200"/>
        <v>-74734676.285654992</v>
      </c>
      <c r="BH95" s="26">
        <f t="shared" si="200"/>
        <v>-69791421.763783231</v>
      </c>
      <c r="BI95" s="26">
        <f t="shared" si="200"/>
        <v>-64765187.716308221</v>
      </c>
      <c r="BJ95" s="26">
        <f t="shared" si="200"/>
        <v>-59657314.413379252</v>
      </c>
      <c r="BK95" s="26">
        <f t="shared" si="200"/>
        <v>-54471023.886671521</v>
      </c>
      <c r="BL95" s="26">
        <f t="shared" si="200"/>
        <v>-49211891.147443093</v>
      </c>
      <c r="BM95" s="26">
        <f t="shared" si="200"/>
        <v>-44191541.205222532</v>
      </c>
      <c r="BN95" s="26">
        <f t="shared" si="200"/>
        <v>-39372549.704084978</v>
      </c>
      <c r="BO95" s="26">
        <f t="shared" si="200"/>
        <v>-34717934.924888633</v>
      </c>
      <c r="BP95" s="26">
        <f t="shared" si="200"/>
        <v>-30194161.117933728</v>
      </c>
      <c r="BQ95" s="26">
        <f t="shared" si="200"/>
        <v>-25770931.596434314</v>
      </c>
      <c r="BR95" s="26">
        <f t="shared" si="200"/>
        <v>-21420957.416599825</v>
      </c>
      <c r="BS95" s="26">
        <f t="shared" si="200"/>
        <v>-17119732.37202337</v>
      </c>
      <c r="BT95" s="26">
        <f t="shared" si="200"/>
        <v>-12845336.75744541</v>
      </c>
      <c r="BU95" s="26">
        <f t="shared" si="200"/>
        <v>-8578286.9858071059</v>
      </c>
      <c r="BV95" s="26">
        <f t="shared" si="241"/>
        <v>-4301444.9975707699</v>
      </c>
      <c r="BW95" s="12"/>
      <c r="BX95" s="12"/>
      <c r="BY95" s="12"/>
      <c r="BZ95" s="12"/>
      <c r="CA95" s="12"/>
      <c r="CB95" s="24"/>
      <c r="CC95" s="24"/>
      <c r="CD95" s="24"/>
      <c r="CE95" s="24"/>
      <c r="CF95" s="24"/>
      <c r="CG95" s="24"/>
      <c r="CH95" s="24"/>
      <c r="CI95" s="24"/>
      <c r="CJ95" s="24"/>
      <c r="CK95" s="32"/>
      <c r="CM95" s="47"/>
      <c r="CN95" s="14">
        <f t="shared" si="201"/>
        <v>0.76043067036063439</v>
      </c>
      <c r="CO95" s="14">
        <f t="shared" si="202"/>
        <v>0.76043067036063439</v>
      </c>
      <c r="CP95" s="14">
        <f t="shared" si="203"/>
        <v>0.76043067036063439</v>
      </c>
      <c r="CQ95" s="14">
        <f t="shared" si="204"/>
        <v>0.76043067036063439</v>
      </c>
      <c r="CR95" s="14">
        <f t="shared" si="205"/>
        <v>0.76043067036063439</v>
      </c>
      <c r="CS95" s="14">
        <f t="shared" si="206"/>
        <v>0.76043067036063439</v>
      </c>
      <c r="CT95" s="14">
        <f t="shared" si="207"/>
        <v>0.76043067036063439</v>
      </c>
      <c r="CU95" s="14">
        <f t="shared" si="208"/>
        <v>0.76043067036063439</v>
      </c>
      <c r="CV95" s="14">
        <f t="shared" si="209"/>
        <v>0.76043067036063439</v>
      </c>
      <c r="CW95" s="14">
        <f t="shared" si="210"/>
        <v>0.76043067036063439</v>
      </c>
      <c r="CX95" s="14">
        <f t="shared" si="211"/>
        <v>0.76043067036063439</v>
      </c>
      <c r="CY95" s="14">
        <f t="shared" si="212"/>
        <v>0.76043067036063439</v>
      </c>
      <c r="CZ95" s="14">
        <f t="shared" si="213"/>
        <v>0.76043067036063439</v>
      </c>
      <c r="DA95" s="14">
        <f t="shared" si="214"/>
        <v>0.76043067036063439</v>
      </c>
      <c r="DB95" s="14">
        <f t="shared" si="215"/>
        <v>0.76043067036063439</v>
      </c>
      <c r="DC95" s="14">
        <f t="shared" si="216"/>
        <v>0.74732886506581442</v>
      </c>
      <c r="DD95" s="14">
        <f t="shared" si="217"/>
        <v>0.74732886506581442</v>
      </c>
      <c r="DE95" s="14">
        <f t="shared" si="218"/>
        <v>0.74732886506581442</v>
      </c>
      <c r="DF95" s="14">
        <f t="shared" si="219"/>
        <v>0.74732886506581442</v>
      </c>
      <c r="DG95" s="14">
        <f t="shared" si="220"/>
        <v>0.74732886506581442</v>
      </c>
      <c r="DH95" s="14">
        <f t="shared" si="221"/>
        <v>0.74732886506581442</v>
      </c>
      <c r="DI95" s="14">
        <f t="shared" si="222"/>
        <v>0.74732886506581442</v>
      </c>
      <c r="DJ95" s="14">
        <f t="shared" si="223"/>
        <v>0.74732886506581442</v>
      </c>
      <c r="DK95" s="14">
        <f t="shared" si="224"/>
        <v>0.74732886506581442</v>
      </c>
      <c r="DL95" s="14">
        <f t="shared" si="225"/>
        <v>0.74732886506581442</v>
      </c>
      <c r="DM95" s="14">
        <f t="shared" si="226"/>
        <v>0.74732886506581442</v>
      </c>
      <c r="DN95" s="12"/>
      <c r="DO95" s="12"/>
      <c r="DP95" s="12"/>
      <c r="DQ95" s="12"/>
      <c r="DR95" s="12"/>
      <c r="DS95" s="24"/>
      <c r="DT95" s="24"/>
      <c r="DU95" s="24"/>
      <c r="DV95" s="24"/>
      <c r="DW95" s="24"/>
      <c r="DX95" s="24"/>
      <c r="DY95" s="24"/>
      <c r="DZ95" s="24"/>
      <c r="EA95" s="24"/>
      <c r="EB95" s="32"/>
      <c r="ED95" s="47"/>
      <c r="EE95" s="14">
        <f t="shared" si="242"/>
        <v>83.849265373777982</v>
      </c>
      <c r="EF95" s="14">
        <f t="shared" si="243"/>
        <v>80.760356661373962</v>
      </c>
      <c r="EG95" s="14">
        <f t="shared" si="244"/>
        <v>77.652291520288088</v>
      </c>
      <c r="EH95" s="14">
        <f t="shared" si="245"/>
        <v>74.516833392832439</v>
      </c>
      <c r="EI95" s="14">
        <f t="shared" si="246"/>
        <v>71.346490065134589</v>
      </c>
      <c r="EJ95" s="14">
        <f t="shared" si="247"/>
        <v>68.134384097482695</v>
      </c>
      <c r="EK95" s="14">
        <f t="shared" si="248"/>
        <v>64.874134481120066</v>
      </c>
      <c r="EL95" s="14">
        <f t="shared" si="249"/>
        <v>61.559748195666842</v>
      </c>
      <c r="EM95" s="14">
        <f t="shared" si="250"/>
        <v>58.185520417256612</v>
      </c>
      <c r="EN95" s="14">
        <f t="shared" si="251"/>
        <v>54.745942279400069</v>
      </c>
      <c r="EO95" s="14">
        <f t="shared" si="252"/>
        <v>51.235615318955631</v>
      </c>
      <c r="EP95" s="14">
        <f t="shared" si="253"/>
        <v>47.649172060274744</v>
      </c>
      <c r="EQ95" s="14">
        <f t="shared" si="254"/>
        <v>43.981202623785322</v>
      </c>
      <c r="ER95" s="14">
        <f t="shared" si="255"/>
        <v>40.226187825197485</v>
      </c>
      <c r="ES95" s="14">
        <f t="shared" si="256"/>
        <v>36.378440007029965</v>
      </c>
      <c r="ET95" s="14">
        <f t="shared" si="228"/>
        <v>29.794858458583235</v>
      </c>
      <c r="EU95" s="14">
        <f t="shared" si="229"/>
        <v>26.659438695217645</v>
      </c>
      <c r="EV95" s="14">
        <f t="shared" si="230"/>
        <v>23.689950997600626</v>
      </c>
      <c r="EW95" s="14">
        <f t="shared" si="231"/>
        <v>20.850027154527453</v>
      </c>
      <c r="EX95" s="14">
        <f t="shared" si="232"/>
        <v>18.109364759392466</v>
      </c>
      <c r="EY95" s="14">
        <f t="shared" si="233"/>
        <v>15.442644484887545</v>
      </c>
      <c r="EZ95" s="14">
        <f t="shared" si="234"/>
        <v>12.828652923497094</v>
      </c>
      <c r="FA95" s="14">
        <f t="shared" si="235"/>
        <v>10.249576220882959</v>
      </c>
      <c r="FB95" s="14">
        <f t="shared" si="236"/>
        <v>7.6904359085157141</v>
      </c>
      <c r="FC95" s="14">
        <f t="shared" si="237"/>
        <v>5.1386434597170174</v>
      </c>
      <c r="FD95" s="14">
        <f t="shared" si="238"/>
        <v>2.5836542851729769</v>
      </c>
      <c r="FE95" s="12"/>
      <c r="FF95" s="12"/>
      <c r="FG95" s="12"/>
      <c r="FH95" s="12"/>
      <c r="FI95" s="12"/>
      <c r="FJ95" s="24"/>
      <c r="FK95" s="24"/>
      <c r="FL95" s="24"/>
      <c r="FM95" s="24"/>
      <c r="FN95" s="24"/>
      <c r="FO95" s="24"/>
      <c r="FP95" s="24"/>
      <c r="FQ95" s="24"/>
      <c r="FR95" s="24"/>
      <c r="FS95" s="32"/>
    </row>
    <row r="96" spans="5:175" ht="15" customHeight="1" x14ac:dyDescent="0.25">
      <c r="E96" s="46"/>
      <c r="F96" s="14">
        <v>350</v>
      </c>
      <c r="G96" s="14">
        <f t="shared" si="257"/>
        <v>338.20345874660654</v>
      </c>
      <c r="H96" s="14">
        <f t="shared" si="258"/>
        <v>325.72861706577976</v>
      </c>
      <c r="I96" s="14">
        <f t="shared" si="259"/>
        <v>313.09819035190299</v>
      </c>
      <c r="J96" s="14">
        <f t="shared" si="260"/>
        <v>300.28904860817255</v>
      </c>
      <c r="K96" s="14">
        <f t="shared" si="261"/>
        <v>287.28018638194351</v>
      </c>
      <c r="L96" s="14">
        <f t="shared" si="262"/>
        <v>274.05234618932769</v>
      </c>
      <c r="M96" s="14">
        <f t="shared" si="263"/>
        <v>260.5876940855693</v>
      </c>
      <c r="N96" s="14">
        <f t="shared" si="264"/>
        <v>246.86954125133337</v>
      </c>
      <c r="O96" s="14">
        <f t="shared" si="265"/>
        <v>232.88210706801937</v>
      </c>
      <c r="P96" s="14">
        <f t="shared" si="266"/>
        <v>218.61032084418486</v>
      </c>
      <c r="Q96" s="14">
        <f t="shared" si="267"/>
        <v>204.03966121517863</v>
      </c>
      <c r="R96" s="14">
        <f t="shared" si="268"/>
        <v>189.15603437606075</v>
      </c>
      <c r="S96" s="14">
        <f t="shared" si="269"/>
        <v>173.94569485937839</v>
      </c>
      <c r="T96" s="14">
        <f t="shared" si="270"/>
        <v>158.39521570741741</v>
      </c>
      <c r="U96" s="14">
        <f t="shared" si="271"/>
        <v>128.63590320063321</v>
      </c>
      <c r="V96" s="14">
        <f t="shared" si="272"/>
        <v>115.71760162175208</v>
      </c>
      <c r="W96" s="14">
        <f t="shared" si="273"/>
        <v>103.39815244746919</v>
      </c>
      <c r="X96" s="14">
        <f t="shared" si="274"/>
        <v>91.48110852038144</v>
      </c>
      <c r="Y96" s="14">
        <f t="shared" si="275"/>
        <v>79.866556680437071</v>
      </c>
      <c r="Z96" s="14">
        <f t="shared" si="276"/>
        <v>68.46811641931393</v>
      </c>
      <c r="AA96" s="14">
        <f t="shared" si="277"/>
        <v>57.210537574235573</v>
      </c>
      <c r="AB96" s="14">
        <f t="shared" si="278"/>
        <v>46.027749461507469</v>
      </c>
      <c r="AC96" s="14">
        <f t="shared" si="279"/>
        <v>34.861292557719679</v>
      </c>
      <c r="AD96" s="14">
        <f t="shared" si="280"/>
        <v>23.659077533554004</v>
      </c>
      <c r="AE96" s="14">
        <f t="shared" si="281"/>
        <v>12.374428285360015</v>
      </c>
      <c r="AF96" s="12"/>
      <c r="AG96" s="12"/>
      <c r="AH96" s="12"/>
      <c r="AI96" s="12"/>
      <c r="AJ96" s="12"/>
      <c r="AK96" s="24"/>
      <c r="AL96" s="24"/>
      <c r="AM96" s="24"/>
      <c r="AN96" s="24"/>
      <c r="AO96" s="24"/>
      <c r="AP96" s="24"/>
      <c r="AQ96" s="24"/>
      <c r="AR96" s="24"/>
      <c r="AS96" s="24"/>
      <c r="AT96" s="32"/>
      <c r="AV96" s="47"/>
      <c r="AW96" s="26">
        <f t="shared" si="240"/>
        <v>-120197000</v>
      </c>
      <c r="AX96" s="26">
        <f t="shared" si="200"/>
        <v>-115814083.55702183</v>
      </c>
      <c r="AY96" s="26">
        <f t="shared" si="200"/>
        <v>-111402826.57112046</v>
      </c>
      <c r="AZ96" s="26">
        <f t="shared" si="200"/>
        <v>-106952367.1584045</v>
      </c>
      <c r="BA96" s="26">
        <f t="shared" si="200"/>
        <v>-102453058.95257986</v>
      </c>
      <c r="BB96" s="26">
        <f t="shared" si="200"/>
        <v>-97896325.615939036</v>
      </c>
      <c r="BC96" s="26">
        <f t="shared" si="200"/>
        <v>-93274544.431500018</v>
      </c>
      <c r="BD96" s="26">
        <f t="shared" si="200"/>
        <v>-88580960.079652935</v>
      </c>
      <c r="BE96" s="26">
        <f t="shared" si="200"/>
        <v>-83809630.751435742</v>
      </c>
      <c r="BF96" s="26">
        <f t="shared" si="200"/>
        <v>-78955410.163011461</v>
      </c>
      <c r="BG96" s="26">
        <f t="shared" si="200"/>
        <v>-74013970.885692626</v>
      </c>
      <c r="BH96" s="26">
        <f t="shared" si="200"/>
        <v>-68981876.801424712</v>
      </c>
      <c r="BI96" s="26">
        <f t="shared" si="200"/>
        <v>-63856715.585080996</v>
      </c>
      <c r="BJ96" s="26">
        <f t="shared" si="200"/>
        <v>-58637306.103605546</v>
      </c>
      <c r="BK96" s="26">
        <f t="shared" si="200"/>
        <v>-53324000.773862876</v>
      </c>
      <c r="BL96" s="26">
        <f t="shared" si="200"/>
        <v>-47919109.584053628</v>
      </c>
      <c r="BM96" s="26">
        <f t="shared" ref="BM96:BM101" si="282">-($C$16*$C$15*V54)/($C$13)</f>
        <v>-42833972.118100338</v>
      </c>
      <c r="BN96" s="26">
        <f t="shared" ref="BN96:BN101" si="283">-($C$16*$C$15*W54)/($C$13)</f>
        <v>-38013168.389370002</v>
      </c>
      <c r="BO96" s="26">
        <f t="shared" ref="BO96:BO101" si="284">-($C$16*$C$15*X54)/($C$13)</f>
        <v>-33406290.963094361</v>
      </c>
      <c r="BP96" s="26">
        <f t="shared" ref="BP96:BP101" si="285">-($C$16*$C$15*Y54)/($C$13)</f>
        <v>-28969402.052235901</v>
      </c>
      <c r="BQ96" s="26">
        <f t="shared" ref="BQ96:BQ101" si="286">-($C$16*$C$15*Z54)/($C$13)</f>
        <v>-24664211.222250756</v>
      </c>
      <c r="BR96" s="26">
        <f t="shared" ref="BR96:BR101" si="287">-($C$16*$C$15*AA54)/($C$13)</f>
        <v>-20457338.521084279</v>
      </c>
      <c r="BS96" s="26">
        <f t="shared" ref="BS96:BS101" si="288">-($C$16*$C$15*AB54)/($C$13)</f>
        <v>-16319670.563155314</v>
      </c>
      <c r="BT96" s="26">
        <f t="shared" ref="BT96:BT101" si="289">-($C$16*$C$15*AC54)/($C$13)</f>
        <v>-12225811.792771634</v>
      </c>
      <c r="BU96" s="26">
        <f t="shared" ref="BU96:BU101" si="290">-($C$16*$C$15*AD54)/($C$13)</f>
        <v>-8153630.0603498276</v>
      </c>
      <c r="BV96" s="26">
        <f t="shared" si="241"/>
        <v>-4083894.098002647</v>
      </c>
      <c r="BW96" s="12"/>
      <c r="BX96" s="12"/>
      <c r="BY96" s="12"/>
      <c r="BZ96" s="12"/>
      <c r="CA96" s="12"/>
      <c r="CB96" s="24"/>
      <c r="CC96" s="24"/>
      <c r="CD96" s="24"/>
      <c r="CE96" s="24"/>
      <c r="CF96" s="24"/>
      <c r="CG96" s="24"/>
      <c r="CH96" s="24"/>
      <c r="CI96" s="24"/>
      <c r="CJ96" s="24"/>
      <c r="CK96" s="32"/>
      <c r="CM96" s="47"/>
      <c r="CN96" s="14">
        <f t="shared" si="201"/>
        <v>0.77038358516019534</v>
      </c>
      <c r="CO96" s="14">
        <f t="shared" si="202"/>
        <v>0.77038358516019534</v>
      </c>
      <c r="CP96" s="14">
        <f t="shared" si="203"/>
        <v>0.77038358516019534</v>
      </c>
      <c r="CQ96" s="14">
        <f t="shared" si="204"/>
        <v>0.77038358516019534</v>
      </c>
      <c r="CR96" s="14">
        <f t="shared" si="205"/>
        <v>0.77038358516019534</v>
      </c>
      <c r="CS96" s="14">
        <f t="shared" si="206"/>
        <v>0.77038358516019534</v>
      </c>
      <c r="CT96" s="14">
        <f t="shared" si="207"/>
        <v>0.77038358516019534</v>
      </c>
      <c r="CU96" s="14">
        <f t="shared" si="208"/>
        <v>0.77038358516019534</v>
      </c>
      <c r="CV96" s="14">
        <f t="shared" si="209"/>
        <v>0.77038358516019534</v>
      </c>
      <c r="CW96" s="14">
        <f t="shared" si="210"/>
        <v>0.77038358516019534</v>
      </c>
      <c r="CX96" s="14">
        <f t="shared" si="211"/>
        <v>0.77038358516019534</v>
      </c>
      <c r="CY96" s="14">
        <f t="shared" si="212"/>
        <v>0.77038358516019534</v>
      </c>
      <c r="CZ96" s="14">
        <f t="shared" si="213"/>
        <v>0.77038358516019534</v>
      </c>
      <c r="DA96" s="14">
        <f t="shared" si="214"/>
        <v>0.77038358516019534</v>
      </c>
      <c r="DB96" s="14">
        <f t="shared" si="215"/>
        <v>0.77038358516019534</v>
      </c>
      <c r="DC96" s="14">
        <f t="shared" si="216"/>
        <v>0.74732887008422</v>
      </c>
      <c r="DD96" s="14">
        <f t="shared" si="217"/>
        <v>0.74732887008422</v>
      </c>
      <c r="DE96" s="14">
        <f t="shared" si="218"/>
        <v>0.74732887008422</v>
      </c>
      <c r="DF96" s="14">
        <f t="shared" si="219"/>
        <v>0.74732887008422</v>
      </c>
      <c r="DG96" s="14">
        <f t="shared" si="220"/>
        <v>0.74732887008422</v>
      </c>
      <c r="DH96" s="14">
        <f t="shared" si="221"/>
        <v>0.74732887008422</v>
      </c>
      <c r="DI96" s="14">
        <f t="shared" si="222"/>
        <v>0.74732887008422</v>
      </c>
      <c r="DJ96" s="14">
        <f t="shared" si="223"/>
        <v>0.74732887008422</v>
      </c>
      <c r="DK96" s="14">
        <f t="shared" si="224"/>
        <v>0.74732887008422</v>
      </c>
      <c r="DL96" s="14">
        <f t="shared" si="225"/>
        <v>0.74732887008422</v>
      </c>
      <c r="DM96" s="14">
        <f t="shared" si="226"/>
        <v>0.74732887008422</v>
      </c>
      <c r="DN96" s="12"/>
      <c r="DO96" s="12"/>
      <c r="DP96" s="12"/>
      <c r="DQ96" s="12"/>
      <c r="DR96" s="12"/>
      <c r="DS96" s="24"/>
      <c r="DT96" s="24"/>
      <c r="DU96" s="24"/>
      <c r="DV96" s="24"/>
      <c r="DW96" s="24"/>
      <c r="DX96" s="24"/>
      <c r="DY96" s="24"/>
      <c r="DZ96" s="24"/>
      <c r="EA96" s="24"/>
      <c r="EB96" s="32"/>
      <c r="ED96" s="47"/>
      <c r="EE96" s="14">
        <f t="shared" si="242"/>
        <v>80.365745193931573</v>
      </c>
      <c r="EF96" s="14">
        <f t="shared" si="243"/>
        <v>77.374552913918464</v>
      </c>
      <c r="EG96" s="14">
        <f t="shared" si="244"/>
        <v>74.366236377238977</v>
      </c>
      <c r="EH96" s="14">
        <f t="shared" si="245"/>
        <v>71.332457226020054</v>
      </c>
      <c r="EI96" s="14">
        <f t="shared" si="246"/>
        <v>68.265525435285284</v>
      </c>
      <c r="EJ96" s="14">
        <f t="shared" si="247"/>
        <v>65.158267402308738</v>
      </c>
      <c r="EK96" s="14">
        <f t="shared" si="248"/>
        <v>62.003899085390238</v>
      </c>
      <c r="EL96" s="14">
        <f t="shared" si="249"/>
        <v>58.795902540330495</v>
      </c>
      <c r="EM96" s="14">
        <f t="shared" si="250"/>
        <v>55.527903942513134</v>
      </c>
      <c r="EN96" s="14">
        <f t="shared" si="251"/>
        <v>52.193550959205872</v>
      </c>
      <c r="EO96" s="14">
        <f t="shared" si="252"/>
        <v>48.786387134829667</v>
      </c>
      <c r="EP96" s="14">
        <f t="shared" si="253"/>
        <v>45.299720761913719</v>
      </c>
      <c r="EQ96" s="14">
        <f t="shared" si="254"/>
        <v>41.726485528599952</v>
      </c>
      <c r="ER96" s="14">
        <f t="shared" si="255"/>
        <v>38.059090062647662</v>
      </c>
      <c r="ES96" s="14">
        <f t="shared" si="256"/>
        <v>34.289253342228186</v>
      </c>
      <c r="ET96" s="14">
        <f t="shared" si="228"/>
        <v>27.626706061840849</v>
      </c>
      <c r="EU96" s="14">
        <f t="shared" si="229"/>
        <v>24.680047310544598</v>
      </c>
      <c r="EV96" s="14">
        <f t="shared" si="230"/>
        <v>21.905332924488221</v>
      </c>
      <c r="EW96" s="14">
        <f t="shared" si="231"/>
        <v>19.263098069590619</v>
      </c>
      <c r="EX96" s="14">
        <f t="shared" si="232"/>
        <v>16.721137352453134</v>
      </c>
      <c r="EY96" s="14">
        <f t="shared" si="233"/>
        <v>14.25310749601201</v>
      </c>
      <c r="EZ96" s="14">
        <f t="shared" si="234"/>
        <v>11.837411155558446</v>
      </c>
      <c r="FA96" s="14">
        <f t="shared" si="235"/>
        <v>9.4563077018291395</v>
      </c>
      <c r="FB96" s="14">
        <f t="shared" si="236"/>
        <v>7.0952071242038386</v>
      </c>
      <c r="FC96" s="14">
        <f t="shared" si="237"/>
        <v>4.7421113912884252</v>
      </c>
      <c r="FD96" s="14">
        <f t="shared" si="238"/>
        <v>2.3871739976555322</v>
      </c>
      <c r="FE96" s="12"/>
      <c r="FF96" s="12"/>
      <c r="FG96" s="12"/>
      <c r="FH96" s="12"/>
      <c r="FI96" s="12"/>
      <c r="FJ96" s="24"/>
      <c r="FK96" s="24"/>
      <c r="FL96" s="24"/>
      <c r="FM96" s="24"/>
      <c r="FN96" s="24"/>
      <c r="FO96" s="24"/>
      <c r="FP96" s="24"/>
      <c r="FQ96" s="24"/>
      <c r="FR96" s="24"/>
      <c r="FS96" s="32"/>
    </row>
    <row r="97" spans="5:175" ht="15" customHeight="1" x14ac:dyDescent="0.25">
      <c r="E97" s="46"/>
      <c r="F97" s="14">
        <v>350</v>
      </c>
      <c r="G97" s="14">
        <f t="shared" si="257"/>
        <v>337.91926616935962</v>
      </c>
      <c r="H97" s="14">
        <f t="shared" si="258"/>
        <v>325.28927842295059</v>
      </c>
      <c r="I97" s="14">
        <f t="shared" si="259"/>
        <v>312.51348717263915</v>
      </c>
      <c r="J97" s="14">
        <f t="shared" si="260"/>
        <v>299.56609799960523</v>
      </c>
      <c r="K97" s="14">
        <f t="shared" si="261"/>
        <v>286.42339346221189</v>
      </c>
      <c r="L97" s="14">
        <f t="shared" si="262"/>
        <v>273.06330087500061</v>
      </c>
      <c r="M97" s="14">
        <f t="shared" si="263"/>
        <v>259.46499804769041</v>
      </c>
      <c r="N97" s="14">
        <f t="shared" si="264"/>
        <v>245.60854914033499</v>
      </c>
      <c r="O97" s="14">
        <f t="shared" si="265"/>
        <v>231.47456341172847</v>
      </c>
      <c r="P97" s="14">
        <f t="shared" si="266"/>
        <v>217.04387024582925</v>
      </c>
      <c r="Q97" s="14">
        <f t="shared" si="267"/>
        <v>202.29720446291515</v>
      </c>
      <c r="R97" s="14">
        <f t="shared" si="268"/>
        <v>187.21489660049679</v>
      </c>
      <c r="S97" s="14">
        <f t="shared" si="269"/>
        <v>171.77656364392931</v>
      </c>
      <c r="T97" s="14">
        <f t="shared" si="270"/>
        <v>155.96079668166277</v>
      </c>
      <c r="U97" s="14">
        <f t="shared" si="271"/>
        <v>121.18041608065616</v>
      </c>
      <c r="V97" s="14">
        <f t="shared" si="272"/>
        <v>108.84823473656022</v>
      </c>
      <c r="W97" s="14">
        <f t="shared" si="273"/>
        <v>97.127917007744102</v>
      </c>
      <c r="X97" s="14">
        <f t="shared" si="274"/>
        <v>85.832383568853004</v>
      </c>
      <c r="Y97" s="14">
        <f t="shared" si="275"/>
        <v>74.854802223641997</v>
      </c>
      <c r="Z97" s="14">
        <f t="shared" si="276"/>
        <v>64.104893395158896</v>
      </c>
      <c r="AA97" s="14">
        <f t="shared" si="277"/>
        <v>53.505824549305814</v>
      </c>
      <c r="AB97" s="14">
        <f t="shared" si="278"/>
        <v>42.991722573864038</v>
      </c>
      <c r="AC97" s="14">
        <f t="shared" si="279"/>
        <v>32.505693402790769</v>
      </c>
      <c r="AD97" s="14">
        <f t="shared" si="280"/>
        <v>21.998260132251765</v>
      </c>
      <c r="AE97" s="14">
        <f t="shared" si="281"/>
        <v>11.426148660626062</v>
      </c>
      <c r="AF97" s="12"/>
      <c r="AG97" s="12"/>
      <c r="AH97" s="12"/>
      <c r="AI97" s="12"/>
      <c r="AJ97" s="12"/>
      <c r="AK97" s="24"/>
      <c r="AL97" s="24"/>
      <c r="AM97" s="24"/>
      <c r="AN97" s="24"/>
      <c r="AO97" s="24"/>
      <c r="AP97" s="24"/>
      <c r="AQ97" s="24"/>
      <c r="AR97" s="24"/>
      <c r="AS97" s="24"/>
      <c r="AT97" s="32"/>
      <c r="AV97" s="47"/>
      <c r="AW97" s="26">
        <f t="shared" si="240"/>
        <v>-120197000</v>
      </c>
      <c r="AX97" s="26">
        <f t="shared" ref="AX97:AX101" si="291">-($C$16*$C$15*G55)/($C$13)</f>
        <v>-115747884.74353811</v>
      </c>
      <c r="AY97" s="26">
        <f t="shared" ref="AY97:AY101" si="292">-($C$16*$C$15*H55)/($C$13)</f>
        <v>-111273111.25949903</v>
      </c>
      <c r="AZ97" s="26">
        <f t="shared" ref="AZ97:AZ101" si="293">-($C$16*$C$15*I55)/($C$13)</f>
        <v>-106760943.20422296</v>
      </c>
      <c r="BA97" s="26">
        <f t="shared" ref="BA97:BA101" si="294">-($C$16*$C$15*J55)/($C$13)</f>
        <v>-102200727.22594121</v>
      </c>
      <c r="BB97" s="26">
        <f t="shared" ref="BB97:BB101" si="295">-($C$16*$C$15*K55)/($C$13)</f>
        <v>-97582739.618993267</v>
      </c>
      <c r="BC97" s="26">
        <f t="shared" ref="BC97:BC101" si="296">-($C$16*$C$15*L55)/($C$13)</f>
        <v>-92898051.462121919</v>
      </c>
      <c r="BD97" s="26">
        <f t="shared" ref="BD97:BD101" si="297">-($C$16*$C$15*M55)/($C$13)</f>
        <v>-88138413.400241762</v>
      </c>
      <c r="BE97" s="26">
        <f t="shared" ref="BE97:BE101" si="298">-($C$16*$C$15*N55)/($C$13)</f>
        <v>-83296161.793519586</v>
      </c>
      <c r="BF97" s="26">
        <f t="shared" ref="BF97:BF101" si="299">-($C$16*$C$15*O55)/($C$13)</f>
        <v>-78364148.899432451</v>
      </c>
      <c r="BG97" s="26">
        <f t="shared" ref="BG97:BG101" si="300">-($C$16*$C$15*P55)/($C$13)</f>
        <v>-73335701.134920806</v>
      </c>
      <c r="BH97" s="26">
        <f t="shared" ref="BH97:BH101" si="301">-($C$16*$C$15*Q55)/($C$13)</f>
        <v>-68204611.387018353</v>
      </c>
      <c r="BI97" s="26">
        <f t="shared" ref="BI97:BI101" si="302">-($C$16*$C$15*R55)/($C$13)</f>
        <v>-62965173.947298907</v>
      </c>
      <c r="BJ97" s="26">
        <f t="shared" ref="BJ97:BJ101" si="303">-($C$16*$C$15*S55)/($C$13)</f>
        <v>-57612274.140940964</v>
      </c>
      <c r="BK97" s="26">
        <f t="shared" ref="BK97:BK101" si="304">-($C$16*$C$15*T55)/($C$13)</f>
        <v>-52141549.380462222</v>
      </c>
      <c r="BL97" s="26">
        <f t="shared" ref="BL97:BL101" si="305">-($C$16*$C$15*U55)/($C$13)</f>
        <v>-46549644.566056356</v>
      </c>
      <c r="BM97" s="26">
        <f t="shared" si="282"/>
        <v>-41379229.375455312</v>
      </c>
      <c r="BN97" s="26">
        <f t="shared" si="283"/>
        <v>-36550403.346390679</v>
      </c>
      <c r="BO97" s="26">
        <f t="shared" si="284"/>
        <v>-31994496.615923204</v>
      </c>
      <c r="BP97" s="26">
        <f t="shared" si="285"/>
        <v>-27653692.066093046</v>
      </c>
      <c r="BQ97" s="26">
        <f t="shared" si="286"/>
        <v>-23479220.335298866</v>
      </c>
      <c r="BR97" s="26">
        <f t="shared" si="287"/>
        <v>-19429842.145428337</v>
      </c>
      <c r="BS97" s="26">
        <f t="shared" si="288"/>
        <v>-15470579.403464561</v>
      </c>
      <c r="BT97" s="26">
        <f t="shared" si="289"/>
        <v>-11571659.65921158</v>
      </c>
      <c r="BU97" s="26">
        <f t="shared" si="290"/>
        <v>-7707641.8459620774</v>
      </c>
      <c r="BV97" s="26">
        <f t="shared" si="241"/>
        <v>-3856694.4399858611</v>
      </c>
      <c r="BW97" s="12"/>
      <c r="BX97" s="12"/>
      <c r="BY97" s="12"/>
      <c r="BZ97" s="12"/>
      <c r="CA97" s="12"/>
      <c r="CB97" s="24"/>
      <c r="CC97" s="24"/>
      <c r="CD97" s="24"/>
      <c r="CE97" s="24"/>
      <c r="CF97" s="24"/>
      <c r="CG97" s="24"/>
      <c r="CH97" s="24"/>
      <c r="CI97" s="24"/>
      <c r="CJ97" s="24"/>
      <c r="CK97" s="32"/>
      <c r="CM97" s="47"/>
      <c r="CN97" s="14">
        <f t="shared" si="201"/>
        <v>0.7873732042073639</v>
      </c>
      <c r="CO97" s="14">
        <f t="shared" si="202"/>
        <v>0.7873732042073639</v>
      </c>
      <c r="CP97" s="14">
        <f t="shared" si="203"/>
        <v>0.7873732042073639</v>
      </c>
      <c r="CQ97" s="14">
        <f t="shared" si="204"/>
        <v>0.7873732042073639</v>
      </c>
      <c r="CR97" s="14">
        <f t="shared" si="205"/>
        <v>0.7873732042073639</v>
      </c>
      <c r="CS97" s="14">
        <f t="shared" si="206"/>
        <v>0.7873732042073639</v>
      </c>
      <c r="CT97" s="14">
        <f t="shared" si="207"/>
        <v>0.7873732042073639</v>
      </c>
      <c r="CU97" s="14">
        <f t="shared" si="208"/>
        <v>0.7873732042073639</v>
      </c>
      <c r="CV97" s="14">
        <f t="shared" si="209"/>
        <v>0.7873732042073639</v>
      </c>
      <c r="CW97" s="14">
        <f t="shared" si="210"/>
        <v>0.7873732042073639</v>
      </c>
      <c r="CX97" s="14">
        <f t="shared" si="211"/>
        <v>0.7873732042073639</v>
      </c>
      <c r="CY97" s="14">
        <f t="shared" si="212"/>
        <v>0.7873732042073639</v>
      </c>
      <c r="CZ97" s="14">
        <f t="shared" si="213"/>
        <v>0.7873732042073639</v>
      </c>
      <c r="DA97" s="14">
        <f t="shared" si="214"/>
        <v>0.7873732042073639</v>
      </c>
      <c r="DB97" s="14">
        <f t="shared" si="215"/>
        <v>0.7873732042073639</v>
      </c>
      <c r="DC97" s="14">
        <f t="shared" si="216"/>
        <v>0.74732887906972001</v>
      </c>
      <c r="DD97" s="14">
        <f t="shared" si="217"/>
        <v>0.74732887906972001</v>
      </c>
      <c r="DE97" s="14">
        <f t="shared" si="218"/>
        <v>0.74732887906972001</v>
      </c>
      <c r="DF97" s="14">
        <f t="shared" si="219"/>
        <v>0.74732887906972001</v>
      </c>
      <c r="DG97" s="14">
        <f t="shared" si="220"/>
        <v>0.74732887906972001</v>
      </c>
      <c r="DH97" s="14">
        <f t="shared" si="221"/>
        <v>0.74732887906972001</v>
      </c>
      <c r="DI97" s="14">
        <f t="shared" si="222"/>
        <v>0.74732887906972001</v>
      </c>
      <c r="DJ97" s="14">
        <f t="shared" si="223"/>
        <v>0.74732887906972001</v>
      </c>
      <c r="DK97" s="14">
        <f t="shared" si="224"/>
        <v>0.74732887906972001</v>
      </c>
      <c r="DL97" s="14">
        <f t="shared" si="225"/>
        <v>0.74732887906972001</v>
      </c>
      <c r="DM97" s="14">
        <f t="shared" si="226"/>
        <v>0.74732887906972001</v>
      </c>
      <c r="DN97" s="12"/>
      <c r="DO97" s="12"/>
      <c r="DP97" s="12"/>
      <c r="DQ97" s="12"/>
      <c r="DR97" s="12"/>
      <c r="DS97" s="24"/>
      <c r="DT97" s="24"/>
      <c r="DU97" s="24"/>
      <c r="DV97" s="24"/>
      <c r="DW97" s="24"/>
      <c r="DX97" s="24"/>
      <c r="DY97" s="24"/>
      <c r="DZ97" s="24"/>
      <c r="EA97" s="24"/>
      <c r="EB97" s="32"/>
      <c r="ED97" s="47"/>
      <c r="EE97" s="14">
        <f t="shared" si="242"/>
        <v>74.419378527422595</v>
      </c>
      <c r="EF97" s="14">
        <f t="shared" si="243"/>
        <v>71.626925182031044</v>
      </c>
      <c r="EG97" s="14">
        <f t="shared" si="244"/>
        <v>68.81929350183411</v>
      </c>
      <c r="EH97" s="14">
        <f t="shared" si="245"/>
        <v>65.988361803734136</v>
      </c>
      <c r="EI97" s="14">
        <f t="shared" si="246"/>
        <v>63.126547608607559</v>
      </c>
      <c r="EJ97" s="14">
        <f t="shared" si="247"/>
        <v>60.226672605372336</v>
      </c>
      <c r="EK97" s="14">
        <f t="shared" si="248"/>
        <v>57.281826935363917</v>
      </c>
      <c r="EL97" s="14">
        <f t="shared" si="249"/>
        <v>54.285230378527373</v>
      </c>
      <c r="EM97" s="14">
        <f t="shared" si="250"/>
        <v>51.230087424070625</v>
      </c>
      <c r="EN97" s="14">
        <f t="shared" si="251"/>
        <v>48.10943256701966</v>
      </c>
      <c r="EO97" s="14">
        <f t="shared" si="252"/>
        <v>44.915961449943552</v>
      </c>
      <c r="EP97" s="14">
        <f t="shared" si="253"/>
        <v>41.641842626534938</v>
      </c>
      <c r="EQ97" s="14">
        <f t="shared" si="254"/>
        <v>38.278503718659536</v>
      </c>
      <c r="ER97" s="14">
        <f t="shared" si="255"/>
        <v>34.816384524424166</v>
      </c>
      <c r="ES97" s="14">
        <f t="shared" si="256"/>
        <v>31.244648158996945</v>
      </c>
      <c r="ET97" s="14">
        <f t="shared" si="228"/>
        <v>25.047090733605938</v>
      </c>
      <c r="EU97" s="14">
        <f t="shared" si="229"/>
        <v>22.36912922793983</v>
      </c>
      <c r="EV97" s="14">
        <f t="shared" si="230"/>
        <v>19.855491641296926</v>
      </c>
      <c r="EW97" s="14">
        <f t="shared" si="231"/>
        <v>17.46590928226092</v>
      </c>
      <c r="EX97" s="14">
        <f t="shared" si="232"/>
        <v>15.168217944492699</v>
      </c>
      <c r="EY97" s="14">
        <f t="shared" si="233"/>
        <v>12.93669269949792</v>
      </c>
      <c r="EZ97" s="14">
        <f t="shared" si="234"/>
        <v>10.750737632976248</v>
      </c>
      <c r="FA97" s="14">
        <f t="shared" si="235"/>
        <v>8.5938561626937524</v>
      </c>
      <c r="FB97" s="14">
        <f t="shared" si="236"/>
        <v>6.4528427127085459</v>
      </c>
      <c r="FC97" s="14">
        <f t="shared" si="237"/>
        <v>4.3171482392772536</v>
      </c>
      <c r="FD97" s="14">
        <f t="shared" si="238"/>
        <v>2.1783810409993247</v>
      </c>
      <c r="FE97" s="12"/>
      <c r="FF97" s="12"/>
      <c r="FG97" s="12"/>
      <c r="FH97" s="12"/>
      <c r="FI97" s="12"/>
      <c r="FJ97" s="24"/>
      <c r="FK97" s="24"/>
      <c r="FL97" s="24"/>
      <c r="FM97" s="24"/>
      <c r="FN97" s="24"/>
      <c r="FO97" s="24"/>
      <c r="FP97" s="24"/>
      <c r="FQ97" s="24"/>
      <c r="FR97" s="24"/>
      <c r="FS97" s="32"/>
    </row>
    <row r="98" spans="5:175" ht="15" customHeight="1" x14ac:dyDescent="0.25">
      <c r="E98" s="46"/>
      <c r="F98" s="14">
        <v>350</v>
      </c>
      <c r="G98" s="14">
        <f t="shared" si="257"/>
        <v>337.70978743398922</v>
      </c>
      <c r="H98" s="14">
        <f t="shared" si="258"/>
        <v>324.95882852054694</v>
      </c>
      <c r="I98" s="14">
        <f t="shared" si="259"/>
        <v>312.06869408307796</v>
      </c>
      <c r="J98" s="14">
        <f t="shared" si="260"/>
        <v>299.01137180623277</v>
      </c>
      <c r="K98" s="14">
        <f t="shared" si="261"/>
        <v>285.76082496133591</v>
      </c>
      <c r="L98" s="14">
        <f t="shared" si="262"/>
        <v>272.29250116375084</v>
      </c>
      <c r="M98" s="14">
        <f t="shared" si="263"/>
        <v>258.58286326088023</v>
      </c>
      <c r="N98" s="14">
        <f t="shared" si="264"/>
        <v>244.60893169407649</v>
      </c>
      <c r="O98" s="14">
        <f t="shared" si="265"/>
        <v>230.34782713539363</v>
      </c>
      <c r="P98" s="14">
        <f t="shared" si="266"/>
        <v>215.77630143476267</v>
      </c>
      <c r="Q98" s="14">
        <f t="shared" si="267"/>
        <v>200.87024387225264</v>
      </c>
      <c r="R98" s="14">
        <f t="shared" si="268"/>
        <v>185.60414833817751</v>
      </c>
      <c r="S98" s="14">
        <f t="shared" si="269"/>
        <v>169.95052530053428</v>
      </c>
      <c r="T98" s="14">
        <f t="shared" si="270"/>
        <v>153.87924019719031</v>
      </c>
      <c r="U98" s="14">
        <f t="shared" si="271"/>
        <v>112.49759909111756</v>
      </c>
      <c r="V98" s="14">
        <f t="shared" si="272"/>
        <v>100.98419904484452</v>
      </c>
      <c r="W98" s="14">
        <f t="shared" si="273"/>
        <v>90.062971595981395</v>
      </c>
      <c r="X98" s="14">
        <f t="shared" si="274"/>
        <v>79.557305520133582</v>
      </c>
      <c r="Y98" s="14">
        <f t="shared" si="275"/>
        <v>69.358705506535983</v>
      </c>
      <c r="Z98" s="14">
        <f t="shared" si="276"/>
        <v>59.377412200473152</v>
      </c>
      <c r="AA98" s="14">
        <f t="shared" si="277"/>
        <v>49.538705584399501</v>
      </c>
      <c r="AB98" s="14">
        <f t="shared" si="278"/>
        <v>39.779983736681253</v>
      </c>
      <c r="AC98" s="14">
        <f t="shared" si="279"/>
        <v>30.048463792432702</v>
      </c>
      <c r="AD98" s="14">
        <f t="shared" si="280"/>
        <v>20.299383190814154</v>
      </c>
      <c r="AE98" s="14">
        <f t="shared" si="281"/>
        <v>10.494603745605129</v>
      </c>
      <c r="AF98" s="12"/>
      <c r="AG98" s="12"/>
      <c r="AH98" s="12"/>
      <c r="AI98" s="12"/>
      <c r="AJ98" s="12"/>
      <c r="AK98" s="24"/>
      <c r="AL98" s="24"/>
      <c r="AM98" s="24"/>
      <c r="AN98" s="24"/>
      <c r="AO98" s="24"/>
      <c r="AP98" s="24"/>
      <c r="AQ98" s="24"/>
      <c r="AR98" s="24"/>
      <c r="AS98" s="24"/>
      <c r="AT98" s="32"/>
      <c r="AV98" s="47"/>
      <c r="AW98" s="26">
        <f t="shared" si="240"/>
        <v>-120197000</v>
      </c>
      <c r="AX98" s="26">
        <f t="shared" si="291"/>
        <v>-115693513.95362532</v>
      </c>
      <c r="AY98" s="26">
        <f t="shared" si="292"/>
        <v>-111165870.51027815</v>
      </c>
      <c r="AZ98" s="26">
        <f t="shared" si="293"/>
        <v>-106601365.76683527</v>
      </c>
      <c r="BA98" s="26">
        <f t="shared" si="294"/>
        <v>-101988229.9190167</v>
      </c>
      <c r="BB98" s="26">
        <f t="shared" si="295"/>
        <v>-97315443.607294232</v>
      </c>
      <c r="BC98" s="26">
        <f t="shared" si="296"/>
        <v>-92572560.412647247</v>
      </c>
      <c r="BD98" s="26">
        <f t="shared" si="297"/>
        <v>-87749534.750255153</v>
      </c>
      <c r="BE98" s="26">
        <f t="shared" si="298"/>
        <v>-82836554.221090317</v>
      </c>
      <c r="BF98" s="26">
        <f t="shared" si="299"/>
        <v>-77823875.525585979</v>
      </c>
      <c r="BG98" s="26">
        <f t="shared" si="300"/>
        <v>-72701663.339791521</v>
      </c>
      <c r="BH98" s="26">
        <f t="shared" si="301"/>
        <v>-67459832.150450766</v>
      </c>
      <c r="BI98" s="26">
        <f t="shared" si="302"/>
        <v>-62087892.022703454</v>
      </c>
      <c r="BJ98" s="26">
        <f t="shared" si="303"/>
        <v>-56574800.756351076</v>
      </c>
      <c r="BK98" s="26">
        <f t="shared" si="304"/>
        <v>-50908827.052198023</v>
      </c>
      <c r="BL98" s="26">
        <f t="shared" si="305"/>
        <v>-45077432.409070596</v>
      </c>
      <c r="BM98" s="26">
        <f t="shared" si="282"/>
        <v>-39796492.778287821</v>
      </c>
      <c r="BN98" s="26">
        <f t="shared" si="283"/>
        <v>-34952644.723487929</v>
      </c>
      <c r="BO98" s="26">
        <f t="shared" si="284"/>
        <v>-30452491.662508972</v>
      </c>
      <c r="BP98" s="26">
        <f t="shared" si="285"/>
        <v>-26219806.552979138</v>
      </c>
      <c r="BQ98" s="26">
        <f t="shared" si="286"/>
        <v>-22192202.975085977</v>
      </c>
      <c r="BR98" s="26">
        <f t="shared" si="287"/>
        <v>-18318438.920464426</v>
      </c>
      <c r="BS98" s="26">
        <f t="shared" si="288"/>
        <v>-14556231.405715069</v>
      </c>
      <c r="BT98" s="26">
        <f t="shared" si="289"/>
        <v>-10870480.919973301</v>
      </c>
      <c r="BU98" s="26">
        <f t="shared" si="290"/>
        <v>-7231821.47325751</v>
      </c>
      <c r="BV98" s="26">
        <f t="shared" si="241"/>
        <v>-3615425.1504804916</v>
      </c>
      <c r="BW98" s="12"/>
      <c r="BX98" s="12"/>
      <c r="BY98" s="12"/>
      <c r="BZ98" s="12"/>
      <c r="CA98" s="12"/>
      <c r="CB98" s="24"/>
      <c r="CC98" s="24"/>
      <c r="CD98" s="24"/>
      <c r="CE98" s="24"/>
      <c r="CF98" s="24"/>
      <c r="CG98" s="24"/>
      <c r="CH98" s="24"/>
      <c r="CI98" s="24"/>
      <c r="CJ98" s="24"/>
      <c r="CK98" s="32"/>
      <c r="CM98" s="47"/>
      <c r="CN98" s="14">
        <f t="shared" si="201"/>
        <v>0.81538210011379086</v>
      </c>
      <c r="CO98" s="14">
        <f t="shared" si="202"/>
        <v>0.81538210011379086</v>
      </c>
      <c r="CP98" s="14">
        <f t="shared" si="203"/>
        <v>0.81538210011379086</v>
      </c>
      <c r="CQ98" s="14">
        <f t="shared" si="204"/>
        <v>0.81538210011379086</v>
      </c>
      <c r="CR98" s="14">
        <f t="shared" si="205"/>
        <v>0.81538210011379086</v>
      </c>
      <c r="CS98" s="14">
        <f t="shared" si="206"/>
        <v>0.81538210011379086</v>
      </c>
      <c r="CT98" s="14">
        <f t="shared" si="207"/>
        <v>0.81538210011379086</v>
      </c>
      <c r="CU98" s="14">
        <f t="shared" si="208"/>
        <v>0.81538210011379086</v>
      </c>
      <c r="CV98" s="14">
        <f t="shared" si="209"/>
        <v>0.81538210011379086</v>
      </c>
      <c r="CW98" s="14">
        <f t="shared" si="210"/>
        <v>0.81538210011379086</v>
      </c>
      <c r="CX98" s="14">
        <f t="shared" si="211"/>
        <v>0.81538210011379086</v>
      </c>
      <c r="CY98" s="14">
        <f t="shared" si="212"/>
        <v>0.81538210011379086</v>
      </c>
      <c r="CZ98" s="14">
        <f t="shared" si="213"/>
        <v>0.81538210011379086</v>
      </c>
      <c r="DA98" s="14">
        <f t="shared" si="214"/>
        <v>0.81538210011379086</v>
      </c>
      <c r="DB98" s="14">
        <f t="shared" si="215"/>
        <v>0.81538210011379086</v>
      </c>
      <c r="DC98" s="14">
        <f t="shared" si="216"/>
        <v>0.74732889515833723</v>
      </c>
      <c r="DD98" s="14">
        <f t="shared" si="217"/>
        <v>0.74732889515833723</v>
      </c>
      <c r="DE98" s="14">
        <f t="shared" si="218"/>
        <v>0.74732889515833723</v>
      </c>
      <c r="DF98" s="14">
        <f t="shared" si="219"/>
        <v>0.74732889515833723</v>
      </c>
      <c r="DG98" s="14">
        <f t="shared" si="220"/>
        <v>0.74732889515833723</v>
      </c>
      <c r="DH98" s="14">
        <f t="shared" si="221"/>
        <v>0.74732889515833723</v>
      </c>
      <c r="DI98" s="14">
        <f t="shared" si="222"/>
        <v>0.74732889515833723</v>
      </c>
      <c r="DJ98" s="14">
        <f t="shared" si="223"/>
        <v>0.74732889515833723</v>
      </c>
      <c r="DK98" s="14">
        <f t="shared" si="224"/>
        <v>0.74732889515833723</v>
      </c>
      <c r="DL98" s="14">
        <f t="shared" si="225"/>
        <v>0.74732889515833723</v>
      </c>
      <c r="DM98" s="14">
        <f t="shared" si="226"/>
        <v>0.74732889515833723</v>
      </c>
      <c r="DN98" s="12"/>
      <c r="DO98" s="12"/>
      <c r="DP98" s="12"/>
      <c r="DQ98" s="12"/>
      <c r="DR98" s="12"/>
      <c r="DS98" s="24"/>
      <c r="DT98" s="24"/>
      <c r="DU98" s="24"/>
      <c r="DV98" s="24"/>
      <c r="DW98" s="24"/>
      <c r="DX98" s="24"/>
      <c r="DY98" s="24"/>
      <c r="DZ98" s="24"/>
      <c r="EA98" s="24"/>
      <c r="EB98" s="32"/>
      <c r="ED98" s="47"/>
      <c r="EE98" s="14">
        <f t="shared" si="242"/>
        <v>64.616264960173169</v>
      </c>
      <c r="EF98" s="14">
        <f t="shared" si="243"/>
        <v>62.176466515905695</v>
      </c>
      <c r="EG98" s="14">
        <f t="shared" si="244"/>
        <v>59.723773535541838</v>
      </c>
      <c r="EH98" s="14">
        <f t="shared" si="245"/>
        <v>57.250790598367239</v>
      </c>
      <c r="EI98" s="14">
        <f t="shared" si="246"/>
        <v>54.75053769642097</v>
      </c>
      <c r="EJ98" s="14">
        <f t="shared" si="247"/>
        <v>52.216316878398942</v>
      </c>
      <c r="EK98" s="14">
        <f t="shared" si="248"/>
        <v>49.641573432288915</v>
      </c>
      <c r="EL98" s="14">
        <f t="shared" si="249"/>
        <v>47.019748246733755</v>
      </c>
      <c r="EM98" s="14">
        <f t="shared" si="250"/>
        <v>44.344117090128933</v>
      </c>
      <c r="EN98" s="14">
        <f t="shared" si="251"/>
        <v>41.607611497815611</v>
      </c>
      <c r="EO98" s="14">
        <f t="shared" si="252"/>
        <v>38.802614696893308</v>
      </c>
      <c r="EP98" s="14">
        <f t="shared" si="253"/>
        <v>35.920724450131949</v>
      </c>
      <c r="EQ98" s="14">
        <f t="shared" si="254"/>
        <v>32.952472775478235</v>
      </c>
      <c r="ER98" s="14">
        <f t="shared" si="255"/>
        <v>29.886990086216951</v>
      </c>
      <c r="ES98" s="14">
        <f t="shared" si="256"/>
        <v>26.711598263476187</v>
      </c>
      <c r="ET98" s="14">
        <f t="shared" si="228"/>
        <v>21.935972626733182</v>
      </c>
      <c r="EU98" s="14">
        <f t="shared" si="229"/>
        <v>19.638768039235632</v>
      </c>
      <c r="EV98" s="14">
        <f t="shared" si="230"/>
        <v>17.476472689553315</v>
      </c>
      <c r="EW98" s="14">
        <f t="shared" si="231"/>
        <v>15.41228513881604</v>
      </c>
      <c r="EX98" s="14">
        <f t="shared" si="232"/>
        <v>13.417548863445765</v>
      </c>
      <c r="EY98" s="14">
        <f t="shared" si="233"/>
        <v>11.469973045226062</v>
      </c>
      <c r="EZ98" s="14">
        <f t="shared" si="234"/>
        <v>9.5522568394309513</v>
      </c>
      <c r="FA98" s="14">
        <f t="shared" si="235"/>
        <v>7.6510272046016974</v>
      </c>
      <c r="FB98" s="14">
        <f t="shared" si="236"/>
        <v>5.7560198553694262</v>
      </c>
      <c r="FC98" s="14">
        <f t="shared" si="237"/>
        <v>3.8594477507727447</v>
      </c>
      <c r="FD98" s="14">
        <f t="shared" si="238"/>
        <v>1.9555126911445386</v>
      </c>
      <c r="FE98" s="12"/>
      <c r="FF98" s="12"/>
      <c r="FG98" s="12"/>
      <c r="FH98" s="12"/>
      <c r="FI98" s="12"/>
      <c r="FJ98" s="24"/>
      <c r="FK98" s="24"/>
      <c r="FL98" s="24"/>
      <c r="FM98" s="24"/>
      <c r="FN98" s="24"/>
      <c r="FO98" s="24"/>
      <c r="FP98" s="24"/>
      <c r="FQ98" s="24"/>
      <c r="FR98" s="24"/>
      <c r="FS98" s="32"/>
    </row>
    <row r="99" spans="5:175" ht="15" customHeight="1" x14ac:dyDescent="0.25">
      <c r="E99" s="46"/>
      <c r="F99" s="14">
        <v>350</v>
      </c>
      <c r="G99" s="14">
        <f t="shared" si="257"/>
        <v>337.57065229238879</v>
      </c>
      <c r="H99" s="14">
        <f t="shared" si="258"/>
        <v>324.73571453362791</v>
      </c>
      <c r="I99" s="14">
        <f t="shared" si="259"/>
        <v>311.76550924107283</v>
      </c>
      <c r="J99" s="14">
        <f t="shared" si="260"/>
        <v>298.6303409826811</v>
      </c>
      <c r="K99" s="14">
        <f t="shared" si="261"/>
        <v>285.30237061491954</v>
      </c>
      <c r="L99" s="14">
        <f t="shared" si="262"/>
        <v>271.75506720797574</v>
      </c>
      <c r="M99" s="14">
        <f t="shared" si="263"/>
        <v>257.96266682003926</v>
      </c>
      <c r="N99" s="14">
        <f t="shared" si="264"/>
        <v>243.89962397450688</v>
      </c>
      <c r="O99" s="14">
        <f t="shared" si="265"/>
        <v>229.54003993101173</v>
      </c>
      <c r="P99" s="14">
        <f t="shared" si="266"/>
        <v>214.85704956372962</v>
      </c>
      <c r="Q99" s="14">
        <f t="shared" si="267"/>
        <v>199.82214571944044</v>
      </c>
      <c r="R99" s="14">
        <f t="shared" si="268"/>
        <v>184.40441614540885</v>
      </c>
      <c r="S99" s="14">
        <f t="shared" si="269"/>
        <v>168.5696632363329</v>
      </c>
      <c r="T99" s="14">
        <f t="shared" si="270"/>
        <v>152.27937068195197</v>
      </c>
      <c r="U99" s="14">
        <f t="shared" si="271"/>
        <v>102.21191968138021</v>
      </c>
      <c r="V99" s="14">
        <f t="shared" si="272"/>
        <v>91.847402372455377</v>
      </c>
      <c r="W99" s="14">
        <f t="shared" si="273"/>
        <v>81.997225433473417</v>
      </c>
      <c r="X99" s="14">
        <f t="shared" si="274"/>
        <v>72.503391202562241</v>
      </c>
      <c r="Y99" s="14">
        <f t="shared" si="275"/>
        <v>63.265434682981081</v>
      </c>
      <c r="Z99" s="14">
        <f t="shared" si="276"/>
        <v>54.201967802503958</v>
      </c>
      <c r="AA99" s="14">
        <f t="shared" si="277"/>
        <v>45.246746657137486</v>
      </c>
      <c r="AB99" s="14">
        <f t="shared" si="278"/>
        <v>36.345610722666635</v>
      </c>
      <c r="AC99" s="14">
        <f t="shared" si="279"/>
        <v>27.454110429742286</v>
      </c>
      <c r="AD99" s="14">
        <f t="shared" si="280"/>
        <v>18.535678563339701</v>
      </c>
      <c r="AE99" s="14">
        <f t="shared" si="281"/>
        <v>9.5602308872596247</v>
      </c>
      <c r="AF99" s="12"/>
      <c r="AG99" s="12"/>
      <c r="AH99" s="12"/>
      <c r="AI99" s="12"/>
      <c r="AJ99" s="12"/>
      <c r="AK99" s="24"/>
      <c r="AL99" s="24"/>
      <c r="AM99" s="24"/>
      <c r="AN99" s="24"/>
      <c r="AO99" s="24"/>
      <c r="AP99" s="24"/>
      <c r="AQ99" s="24"/>
      <c r="AR99" s="24"/>
      <c r="AS99" s="24"/>
      <c r="AT99" s="32"/>
      <c r="AV99" s="47"/>
      <c r="AW99" s="26">
        <f t="shared" si="240"/>
        <v>-120197000</v>
      </c>
      <c r="AX99" s="26">
        <f t="shared" si="291"/>
        <v>-115651359.43954213</v>
      </c>
      <c r="AY99" s="26">
        <f t="shared" si="292"/>
        <v>-111082042.20828292</v>
      </c>
      <c r="AZ99" s="26">
        <f t="shared" si="293"/>
        <v>-106475248.04133971</v>
      </c>
      <c r="BA99" s="26">
        <f t="shared" si="294"/>
        <v>-101817943.52904713</v>
      </c>
      <c r="BB99" s="26">
        <f t="shared" si="295"/>
        <v>-97097619.89442566</v>
      </c>
      <c r="BC99" s="26">
        <f t="shared" si="296"/>
        <v>-92302041.129781619</v>
      </c>
      <c r="BD99" s="26">
        <f t="shared" si="297"/>
        <v>-87418977.055505887</v>
      </c>
      <c r="BE99" s="26">
        <f t="shared" si="298"/>
        <v>-82435914.37513873</v>
      </c>
      <c r="BF99" s="26">
        <f t="shared" si="299"/>
        <v>-77339737.135114893</v>
      </c>
      <c r="BG99" s="26">
        <f t="shared" si="300"/>
        <v>-72116366.064725295</v>
      </c>
      <c r="BH99" s="26">
        <f t="shared" si="301"/>
        <v>-66750343.973420464</v>
      </c>
      <c r="BI99" s="26">
        <f t="shared" si="302"/>
        <v>-61224351.608571969</v>
      </c>
      <c r="BJ99" s="26">
        <f t="shared" si="303"/>
        <v>-55518635.0011876</v>
      </c>
      <c r="BK99" s="26">
        <f t="shared" si="304"/>
        <v>-49610321.203493841</v>
      </c>
      <c r="BL99" s="26">
        <f t="shared" si="305"/>
        <v>-43472594.279427193</v>
      </c>
      <c r="BM99" s="26">
        <f t="shared" si="282"/>
        <v>-38049981.997242391</v>
      </c>
      <c r="BN99" s="26">
        <f t="shared" si="283"/>
        <v>-33183312.625585604</v>
      </c>
      <c r="BO99" s="26">
        <f t="shared" si="284"/>
        <v>-28745817.916106291</v>
      </c>
      <c r="BP99" s="26">
        <f t="shared" si="285"/>
        <v>-24636938.841076594</v>
      </c>
      <c r="BQ99" s="26">
        <f t="shared" si="286"/>
        <v>-20776682.456275988</v>
      </c>
      <c r="BR99" s="26">
        <f t="shared" si="287"/>
        <v>-17101176.008526914</v>
      </c>
      <c r="BS99" s="26">
        <f t="shared" si="288"/>
        <v>-13559153.86257131</v>
      </c>
      <c r="BT99" s="26">
        <f t="shared" si="289"/>
        <v>-10109166.92926399</v>
      </c>
      <c r="BU99" s="26">
        <f t="shared" si="290"/>
        <v>-6717345.8038414912</v>
      </c>
      <c r="BV99" s="26">
        <f t="shared" si="241"/>
        <v>-3355580.1707711131</v>
      </c>
      <c r="BW99" s="12"/>
      <c r="BX99" s="12"/>
      <c r="BY99" s="12"/>
      <c r="BZ99" s="12"/>
      <c r="CA99" s="12"/>
      <c r="CB99" s="24"/>
      <c r="CC99" s="24"/>
      <c r="CD99" s="24"/>
      <c r="CE99" s="24"/>
      <c r="CF99" s="24"/>
      <c r="CG99" s="24"/>
      <c r="CH99" s="24"/>
      <c r="CI99" s="24"/>
      <c r="CJ99" s="24"/>
      <c r="CK99" s="32"/>
      <c r="CM99" s="47"/>
      <c r="CN99" s="14">
        <f t="shared" si="201"/>
        <v>0.85900898314151009</v>
      </c>
      <c r="CO99" s="14">
        <f t="shared" si="202"/>
        <v>0.85900898314151009</v>
      </c>
      <c r="CP99" s="14">
        <f t="shared" si="203"/>
        <v>0.85900898314151009</v>
      </c>
      <c r="CQ99" s="14">
        <f t="shared" si="204"/>
        <v>0.85900898314151009</v>
      </c>
      <c r="CR99" s="14">
        <f t="shared" si="205"/>
        <v>0.85900898314151009</v>
      </c>
      <c r="CS99" s="14">
        <f t="shared" si="206"/>
        <v>0.85900898314151009</v>
      </c>
      <c r="CT99" s="14">
        <f t="shared" si="207"/>
        <v>0.85900898314151009</v>
      </c>
      <c r="CU99" s="14">
        <f t="shared" si="208"/>
        <v>0.85900898314151009</v>
      </c>
      <c r="CV99" s="14">
        <f t="shared" si="209"/>
        <v>0.85900898314151009</v>
      </c>
      <c r="CW99" s="14">
        <f t="shared" si="210"/>
        <v>0.85900898314151009</v>
      </c>
      <c r="CX99" s="14">
        <f t="shared" si="211"/>
        <v>0.85900898314151009</v>
      </c>
      <c r="CY99" s="14">
        <f t="shared" si="212"/>
        <v>0.85900898314151009</v>
      </c>
      <c r="CZ99" s="14">
        <f t="shared" si="213"/>
        <v>0.85900898314151009</v>
      </c>
      <c r="DA99" s="14">
        <f t="shared" si="214"/>
        <v>0.85900898314151009</v>
      </c>
      <c r="DB99" s="14">
        <f t="shared" si="215"/>
        <v>0.85900898314151009</v>
      </c>
      <c r="DC99" s="14">
        <f t="shared" si="216"/>
        <v>0.74732892396514827</v>
      </c>
      <c r="DD99" s="14">
        <f t="shared" si="217"/>
        <v>0.74732892396514827</v>
      </c>
      <c r="DE99" s="14">
        <f t="shared" si="218"/>
        <v>0.74732892396514827</v>
      </c>
      <c r="DF99" s="14">
        <f t="shared" si="219"/>
        <v>0.74732892396514827</v>
      </c>
      <c r="DG99" s="14">
        <f t="shared" si="220"/>
        <v>0.74732892396514827</v>
      </c>
      <c r="DH99" s="14">
        <f t="shared" si="221"/>
        <v>0.74732892396514827</v>
      </c>
      <c r="DI99" s="14">
        <f t="shared" si="222"/>
        <v>0.74732892396514827</v>
      </c>
      <c r="DJ99" s="14">
        <f t="shared" si="223"/>
        <v>0.74732892396514827</v>
      </c>
      <c r="DK99" s="14">
        <f t="shared" si="224"/>
        <v>0.74732892396514827</v>
      </c>
      <c r="DL99" s="14">
        <f t="shared" si="225"/>
        <v>0.74732892396514827</v>
      </c>
      <c r="DM99" s="14">
        <f t="shared" si="226"/>
        <v>0.74732892396514827</v>
      </c>
      <c r="DN99" s="12"/>
      <c r="DO99" s="12"/>
      <c r="DP99" s="12"/>
      <c r="DQ99" s="12"/>
      <c r="DR99" s="12"/>
      <c r="DS99" s="24"/>
      <c r="DT99" s="24"/>
      <c r="DU99" s="24"/>
      <c r="DV99" s="24"/>
      <c r="DW99" s="24"/>
      <c r="DX99" s="24"/>
      <c r="DY99" s="24"/>
      <c r="DZ99" s="24"/>
      <c r="EA99" s="24"/>
      <c r="EB99" s="32"/>
      <c r="ED99" s="47"/>
      <c r="EE99" s="14">
        <f t="shared" si="242"/>
        <v>49.346855900471439</v>
      </c>
      <c r="EF99" s="14">
        <f t="shared" si="243"/>
        <v>47.474911191782184</v>
      </c>
      <c r="EG99" s="14">
        <f t="shared" si="244"/>
        <v>45.593161683336497</v>
      </c>
      <c r="EH99" s="14">
        <f t="shared" si="245"/>
        <v>43.69569766646908</v>
      </c>
      <c r="EI99" s="14">
        <f t="shared" si="246"/>
        <v>41.776886539661135</v>
      </c>
      <c r="EJ99" s="14">
        <f t="shared" si="247"/>
        <v>39.831254943203355</v>
      </c>
      <c r="EK99" s="14">
        <f t="shared" si="248"/>
        <v>37.853362666243676</v>
      </c>
      <c r="EL99" s="14">
        <f t="shared" si="249"/>
        <v>35.837664392490389</v>
      </c>
      <c r="EM99" s="14">
        <f t="shared" si="250"/>
        <v>33.778354292647151</v>
      </c>
      <c r="EN99" s="14">
        <f t="shared" si="251"/>
        <v>31.669187174580916</v>
      </c>
      <c r="EO99" s="14">
        <f t="shared" si="252"/>
        <v>29.503268282218173</v>
      </c>
      <c r="EP99" s="14">
        <f t="shared" si="253"/>
        <v>27.272801787349561</v>
      </c>
      <c r="EQ99" s="14">
        <f t="shared" si="254"/>
        <v>24.968785414584982</v>
      </c>
      <c r="ER99" s="14">
        <f t="shared" si="255"/>
        <v>22.580635313555462</v>
      </c>
      <c r="ES99" s="14">
        <f t="shared" si="256"/>
        <v>20.09572103357533</v>
      </c>
      <c r="ET99" s="14">
        <f t="shared" si="228"/>
        <v>18.139210003952677</v>
      </c>
      <c r="EU99" s="14">
        <f t="shared" si="229"/>
        <v>16.378989562789371</v>
      </c>
      <c r="EV99" s="14">
        <f t="shared" si="230"/>
        <v>14.690561781544925</v>
      </c>
      <c r="EW99" s="14">
        <f t="shared" si="231"/>
        <v>13.047915674634265</v>
      </c>
      <c r="EX99" s="14">
        <f t="shared" si="232"/>
        <v>11.431667929165943</v>
      </c>
      <c r="EY99" s="14">
        <f t="shared" si="233"/>
        <v>9.8275102348892922</v>
      </c>
      <c r="EZ99" s="14">
        <f t="shared" si="234"/>
        <v>8.2250391181219271</v>
      </c>
      <c r="FA99" s="14">
        <f t="shared" si="235"/>
        <v>6.6168782813815383</v>
      </c>
      <c r="FB99" s="14">
        <f t="shared" si="236"/>
        <v>4.9980243169378378</v>
      </c>
      <c r="FC99" s="14">
        <f t="shared" si="237"/>
        <v>3.3653623661923415</v>
      </c>
      <c r="FD99" s="14">
        <f t="shared" si="238"/>
        <v>1.7173099626159294</v>
      </c>
      <c r="FE99" s="12"/>
      <c r="FF99" s="12"/>
      <c r="FG99" s="12"/>
      <c r="FH99" s="12"/>
      <c r="FI99" s="12"/>
      <c r="FJ99" s="24"/>
      <c r="FK99" s="24"/>
      <c r="FL99" s="24"/>
      <c r="FM99" s="24"/>
      <c r="FN99" s="24"/>
      <c r="FO99" s="24"/>
      <c r="FP99" s="24"/>
      <c r="FQ99" s="24"/>
      <c r="FR99" s="24"/>
      <c r="FS99" s="32"/>
    </row>
    <row r="100" spans="5:175" ht="15" customHeight="1" x14ac:dyDescent="0.25">
      <c r="E100" s="46"/>
      <c r="F100" s="14">
        <v>350</v>
      </c>
      <c r="G100" s="14">
        <f t="shared" si="257"/>
        <v>337.50046092459684</v>
      </c>
      <c r="H100" s="14">
        <f t="shared" si="258"/>
        <v>324.62172912304106</v>
      </c>
      <c r="I100" s="14">
        <f t="shared" si="259"/>
        <v>311.60940478270692</v>
      </c>
      <c r="J100" s="14">
        <f t="shared" si="260"/>
        <v>298.43281467933474</v>
      </c>
      <c r="K100" s="14">
        <f t="shared" si="261"/>
        <v>285.06305065212263</v>
      </c>
      <c r="L100" s="14">
        <f t="shared" si="262"/>
        <v>271.47238052851441</v>
      </c>
      <c r="M100" s="14">
        <f t="shared" si="263"/>
        <v>257.63365495229084</v>
      </c>
      <c r="N100" s="14">
        <f t="shared" si="264"/>
        <v>243.51969299378968</v>
      </c>
      <c r="O100" s="14">
        <f t="shared" si="265"/>
        <v>229.10262670125502</v>
      </c>
      <c r="P100" s="14">
        <f t="shared" si="266"/>
        <v>214.35318124902759</v>
      </c>
      <c r="Q100" s="14">
        <f t="shared" si="267"/>
        <v>199.23986281776004</v>
      </c>
      <c r="R100" s="14">
        <f t="shared" si="268"/>
        <v>183.72802051584526</v>
      </c>
      <c r="S100" s="14">
        <f t="shared" si="269"/>
        <v>167.77874115905536</v>
      </c>
      <c r="T100" s="14">
        <f t="shared" si="270"/>
        <v>151.34752611101766</v>
      </c>
      <c r="U100" s="14">
        <f t="shared" si="271"/>
        <v>89.843907728745421</v>
      </c>
      <c r="V100" s="14">
        <f t="shared" si="272"/>
        <v>81.091763144222</v>
      </c>
      <c r="W100" s="14">
        <f t="shared" si="273"/>
        <v>72.681771443298231</v>
      </c>
      <c r="X100" s="14">
        <f t="shared" si="274"/>
        <v>64.492585514512697</v>
      </c>
      <c r="Y100" s="14">
        <f t="shared" si="275"/>
        <v>56.448202848916921</v>
      </c>
      <c r="Z100" s="14">
        <f t="shared" si="276"/>
        <v>48.48855259022131</v>
      </c>
      <c r="AA100" s="14">
        <f t="shared" si="277"/>
        <v>40.566096617553889</v>
      </c>
      <c r="AB100" s="14">
        <f t="shared" si="278"/>
        <v>32.64324163198706</v>
      </c>
      <c r="AC100" s="14">
        <f t="shared" si="279"/>
        <v>24.690384846782742</v>
      </c>
      <c r="AD100" s="14">
        <f t="shared" si="280"/>
        <v>16.684455758845502</v>
      </c>
      <c r="AE100" s="14">
        <f t="shared" si="281"/>
        <v>8.6078466658622759</v>
      </c>
      <c r="AF100" s="12"/>
      <c r="AG100" s="12"/>
      <c r="AH100" s="12"/>
      <c r="AI100" s="12"/>
      <c r="AJ100" s="12"/>
      <c r="AK100" s="24"/>
      <c r="AL100" s="24"/>
      <c r="AM100" s="24"/>
      <c r="AN100" s="24"/>
      <c r="AO100" s="24"/>
      <c r="AP100" s="24"/>
      <c r="AQ100" s="24"/>
      <c r="AR100" s="24"/>
      <c r="AS100" s="24"/>
      <c r="AT100" s="32"/>
      <c r="AV100" s="47"/>
      <c r="AW100" s="26">
        <f t="shared" si="240"/>
        <v>-120197000</v>
      </c>
      <c r="AX100" s="26">
        <f t="shared" si="291"/>
        <v>-115622238.99220145</v>
      </c>
      <c r="AY100" s="26">
        <f t="shared" si="292"/>
        <v>-111023372.86487576</v>
      </c>
      <c r="AZ100" s="26">
        <f t="shared" si="293"/>
        <v>-106385361.86784637</v>
      </c>
      <c r="BA100" s="26">
        <f t="shared" si="294"/>
        <v>-101693741.47772495</v>
      </c>
      <c r="BB100" s="26">
        <f t="shared" si="295"/>
        <v>-96934286.604508355</v>
      </c>
      <c r="BC100" s="26">
        <f t="shared" si="296"/>
        <v>-92092644.469668001</v>
      </c>
      <c r="BD100" s="26">
        <f t="shared" si="297"/>
        <v>-87153922.075367108</v>
      </c>
      <c r="BE100" s="26">
        <f t="shared" si="298"/>
        <v>-82102210.425444022</v>
      </c>
      <c r="BF100" s="26">
        <f t="shared" si="299"/>
        <v>-76920022.878123045</v>
      </c>
      <c r="BG100" s="26">
        <f t="shared" si="300"/>
        <v>-71587618.879438996</v>
      </c>
      <c r="BH100" s="26">
        <f t="shared" si="301"/>
        <v>-66082176.424119994</v>
      </c>
      <c r="BI100" s="26">
        <f t="shared" si="302"/>
        <v>-60376766.374705926</v>
      </c>
      <c r="BJ100" s="26">
        <f t="shared" si="303"/>
        <v>-54439068.538187124</v>
      </c>
      <c r="BK100" s="26">
        <f t="shared" si="304"/>
        <v>-48229752.241889678</v>
      </c>
      <c r="BL100" s="26">
        <f t="shared" si="305"/>
        <v>-41700421.883041963</v>
      </c>
      <c r="BM100" s="26">
        <f t="shared" si="282"/>
        <v>-36097661.501193002</v>
      </c>
      <c r="BN100" s="26">
        <f t="shared" si="283"/>
        <v>-31199606.494269647</v>
      </c>
      <c r="BO100" s="26">
        <f t="shared" si="284"/>
        <v>-26834555.776071858</v>
      </c>
      <c r="BP100" s="26">
        <f t="shared" si="285"/>
        <v>-22869863.757175352</v>
      </c>
      <c r="BQ100" s="26">
        <f t="shared" si="286"/>
        <v>-19202838.449932855</v>
      </c>
      <c r="BR100" s="26">
        <f t="shared" si="287"/>
        <v>-15753731.048569968</v>
      </c>
      <c r="BS100" s="26">
        <f t="shared" si="288"/>
        <v>-12460317.815397231</v>
      </c>
      <c r="BT100" s="26">
        <f t="shared" si="289"/>
        <v>-9273687.3385317661</v>
      </c>
      <c r="BU100" s="26">
        <f t="shared" si="290"/>
        <v>-6154930.6103960266</v>
      </c>
      <c r="BV100" s="26">
        <f t="shared" si="241"/>
        <v>-3072493.9484589314</v>
      </c>
      <c r="BW100" s="12"/>
      <c r="BX100" s="12"/>
      <c r="BY100" s="12"/>
      <c r="BZ100" s="12"/>
      <c r="CA100" s="12"/>
      <c r="CB100" s="24"/>
      <c r="CC100" s="24"/>
      <c r="CD100" s="24"/>
      <c r="CE100" s="24"/>
      <c r="CF100" s="24"/>
      <c r="CG100" s="24"/>
      <c r="CH100" s="24"/>
      <c r="CI100" s="24"/>
      <c r="CJ100" s="24"/>
      <c r="CK100" s="32"/>
      <c r="CM100" s="47"/>
      <c r="CN100" s="14">
        <f t="shared" ref="CN100" si="306">$C$24/($C$25-$C$26*CN101)</f>
        <v>0.92129568091084513</v>
      </c>
      <c r="CO100" s="14">
        <f t="shared" ref="CO100" si="307">$C$24/($C$25-$C$26*CO101)</f>
        <v>0.92129568091084513</v>
      </c>
      <c r="CP100" s="14">
        <f t="shared" ref="CP100" si="308">$C$24/($C$25-$C$26*CP101)</f>
        <v>0.92129568091084513</v>
      </c>
      <c r="CQ100" s="14">
        <f t="shared" ref="CQ100" si="309">$C$24/($C$25-$C$26*CQ101)</f>
        <v>0.92129568091084513</v>
      </c>
      <c r="CR100" s="14">
        <f t="shared" ref="CR100" si="310">$C$24/($C$25-$C$26*CR101)</f>
        <v>0.92129568091084513</v>
      </c>
      <c r="CS100" s="14">
        <f t="shared" ref="CS100" si="311">$C$24/($C$25-$C$26*CS101)</f>
        <v>0.92129568091084513</v>
      </c>
      <c r="CT100" s="14">
        <f t="shared" ref="CT100" si="312">$C$24/($C$25-$C$26*CT101)</f>
        <v>0.92129568091084513</v>
      </c>
      <c r="CU100" s="14">
        <f t="shared" ref="CU100" si="313">$C$24/($C$25-$C$26*CU101)</f>
        <v>0.92129568091084513</v>
      </c>
      <c r="CV100" s="14">
        <f t="shared" ref="CV100" si="314">$C$24/($C$25-$C$26*CV101)</f>
        <v>0.92129568091084513</v>
      </c>
      <c r="CW100" s="14">
        <f t="shared" ref="CW100" si="315">$C$24/($C$25-$C$26*CW101)</f>
        <v>0.92129568091084513</v>
      </c>
      <c r="CX100" s="14">
        <f t="shared" ref="CX100" si="316">$C$24/($C$25-$C$26*CX101)</f>
        <v>0.92129568091084513</v>
      </c>
      <c r="CY100" s="14">
        <f t="shared" ref="CY100" si="317">$C$24/($C$25-$C$26*CY101)</f>
        <v>0.92129568091084513</v>
      </c>
      <c r="CZ100" s="14">
        <f t="shared" ref="CZ100" si="318">$C$24/($C$25-$C$26*CZ101)</f>
        <v>0.92129568091084513</v>
      </c>
      <c r="DA100" s="14">
        <f t="shared" ref="DA100" si="319">$C$24/($C$25-$C$26*DA101)</f>
        <v>0.92129568091084513</v>
      </c>
      <c r="DB100" s="14">
        <f>$C$24/($C$25-$C$26*DB101)</f>
        <v>0.92129568091084513</v>
      </c>
      <c r="DC100" s="14">
        <f t="shared" si="216"/>
        <v>0.74732897554399369</v>
      </c>
      <c r="DD100" s="14">
        <f t="shared" si="217"/>
        <v>0.74732897554399369</v>
      </c>
      <c r="DE100" s="14">
        <f t="shared" si="218"/>
        <v>0.74732897554399369</v>
      </c>
      <c r="DF100" s="14">
        <f t="shared" si="219"/>
        <v>0.74732897554399369</v>
      </c>
      <c r="DG100" s="14">
        <f t="shared" si="220"/>
        <v>0.74732897554399369</v>
      </c>
      <c r="DH100" s="14">
        <f t="shared" si="221"/>
        <v>0.74732897554399369</v>
      </c>
      <c r="DI100" s="14">
        <f t="shared" si="222"/>
        <v>0.74732897554399369</v>
      </c>
      <c r="DJ100" s="14">
        <f t="shared" si="223"/>
        <v>0.74732897554399369</v>
      </c>
      <c r="DK100" s="14">
        <f t="shared" si="224"/>
        <v>0.74732897554399369</v>
      </c>
      <c r="DL100" s="14">
        <f t="shared" si="225"/>
        <v>0.74732897554399369</v>
      </c>
      <c r="DM100" s="14">
        <f t="shared" si="226"/>
        <v>0.74732897554399369</v>
      </c>
      <c r="DN100" s="12"/>
      <c r="DO100" s="12"/>
      <c r="DP100" s="12"/>
      <c r="DQ100" s="12"/>
      <c r="DR100" s="12"/>
      <c r="DS100" s="24"/>
      <c r="DT100" s="24"/>
      <c r="DU100" s="24"/>
      <c r="DV100" s="24"/>
      <c r="DW100" s="24"/>
      <c r="DX100" s="24"/>
      <c r="DY100" s="24"/>
      <c r="DZ100" s="24"/>
      <c r="EA100" s="24"/>
      <c r="EB100" s="32"/>
      <c r="ED100" s="47"/>
      <c r="EE100" s="14">
        <f t="shared" si="242"/>
        <v>27.546511681204194</v>
      </c>
      <c r="EF100" s="14">
        <f t="shared" si="243"/>
        <v>26.498076965362365</v>
      </c>
      <c r="EG100" s="14">
        <f t="shared" si="244"/>
        <v>25.444117885712529</v>
      </c>
      <c r="EH100" s="14">
        <f t="shared" si="245"/>
        <v>24.381187661936362</v>
      </c>
      <c r="EI100" s="14">
        <f t="shared" si="246"/>
        <v>23.305971343057728</v>
      </c>
      <c r="EJ100" s="14">
        <f t="shared" si="247"/>
        <v>22.215208850972026</v>
      </c>
      <c r="EK100" s="14">
        <f t="shared" si="248"/>
        <v>21.105610844169941</v>
      </c>
      <c r="EL100" s="14">
        <f t="shared" si="249"/>
        <v>19.973764174745295</v>
      </c>
      <c r="EM100" s="14">
        <f t="shared" si="250"/>
        <v>18.816022850297248</v>
      </c>
      <c r="EN100" s="14">
        <f t="shared" si="251"/>
        <v>17.628379316710983</v>
      </c>
      <c r="EO100" s="14">
        <f t="shared" si="252"/>
        <v>16.406309472716124</v>
      </c>
      <c r="EP100" s="14">
        <f t="shared" si="253"/>
        <v>15.144583016102047</v>
      </c>
      <c r="EQ100" s="14">
        <f t="shared" si="254"/>
        <v>13.83702838019396</v>
      </c>
      <c r="ER100" s="14">
        <f t="shared" si="255"/>
        <v>12.476238486826187</v>
      </c>
      <c r="ES100" s="14">
        <f t="shared" si="256"/>
        <v>11.05319960991371</v>
      </c>
      <c r="ET100" s="14">
        <f t="shared" si="228"/>
        <v>13.457978504874594</v>
      </c>
      <c r="EU100" s="14">
        <f t="shared" si="229"/>
        <v>12.451538022837958</v>
      </c>
      <c r="EV100" s="14">
        <f t="shared" si="230"/>
        <v>11.402868962650629</v>
      </c>
      <c r="EW100" s="14">
        <f t="shared" si="231"/>
        <v>10.308700443636454</v>
      </c>
      <c r="EX100" s="14">
        <f t="shared" si="232"/>
        <v>9.1681103599392166</v>
      </c>
      <c r="EY100" s="14">
        <f t="shared" si="233"/>
        <v>7.9818515199074946</v>
      </c>
      <c r="EZ100" s="14">
        <f t="shared" si="234"/>
        <v>6.7518917915767096</v>
      </c>
      <c r="FA100" s="14">
        <f t="shared" si="235"/>
        <v>5.4811136050958096</v>
      </c>
      <c r="FB100" s="14">
        <f t="shared" si="236"/>
        <v>4.1731326248517666</v>
      </c>
      <c r="FC100" s="14">
        <f t="shared" si="237"/>
        <v>2.8322060870920795</v>
      </c>
      <c r="FD100" s="14">
        <f t="shared" si="238"/>
        <v>1.4632091109224949</v>
      </c>
      <c r="FE100" s="12"/>
      <c r="FF100" s="12"/>
      <c r="FG100" s="12"/>
      <c r="FH100" s="12"/>
      <c r="FI100" s="12"/>
      <c r="FJ100" s="24"/>
      <c r="FK100" s="24"/>
      <c r="FL100" s="24"/>
      <c r="FM100" s="24"/>
      <c r="FN100" s="24"/>
      <c r="FO100" s="24"/>
      <c r="FP100" s="24"/>
      <c r="FQ100" s="24"/>
      <c r="FR100" s="24"/>
      <c r="FS100" s="32"/>
    </row>
    <row r="101" spans="5:175" ht="15" customHeight="1" x14ac:dyDescent="0.25">
      <c r="E101" s="46"/>
      <c r="F101" s="14">
        <v>350</v>
      </c>
      <c r="G101" s="14">
        <f t="shared" si="257"/>
        <v>337.50046092459684</v>
      </c>
      <c r="H101" s="14">
        <f t="shared" si="258"/>
        <v>324.62172912304106</v>
      </c>
      <c r="I101" s="14">
        <f t="shared" si="259"/>
        <v>311.60940478270692</v>
      </c>
      <c r="J101" s="14">
        <f t="shared" si="260"/>
        <v>298.43281467933474</v>
      </c>
      <c r="K101" s="14">
        <f t="shared" si="261"/>
        <v>285.06305065212263</v>
      </c>
      <c r="L101" s="14">
        <f t="shared" si="262"/>
        <v>271.47238052851441</v>
      </c>
      <c r="M101" s="14">
        <f t="shared" si="263"/>
        <v>257.63365495229084</v>
      </c>
      <c r="N101" s="14">
        <f t="shared" si="264"/>
        <v>243.51969299378968</v>
      </c>
      <c r="O101" s="14">
        <f t="shared" si="265"/>
        <v>229.10262670125502</v>
      </c>
      <c r="P101" s="14">
        <f t="shared" si="266"/>
        <v>214.35318124902759</v>
      </c>
      <c r="Q101" s="14">
        <f t="shared" si="267"/>
        <v>199.23986281776004</v>
      </c>
      <c r="R101" s="14">
        <f t="shared" si="268"/>
        <v>183.72802051584526</v>
      </c>
      <c r="S101" s="14">
        <f t="shared" si="269"/>
        <v>167.77874115905536</v>
      </c>
      <c r="T101" s="14">
        <f t="shared" si="270"/>
        <v>151.34752611101766</v>
      </c>
      <c r="U101" s="14">
        <f t="shared" si="271"/>
        <v>74.777829335604139</v>
      </c>
      <c r="V101" s="14">
        <f t="shared" si="272"/>
        <v>68.284101975141809</v>
      </c>
      <c r="W101" s="14">
        <f t="shared" si="273"/>
        <v>61.81426955630409</v>
      </c>
      <c r="X101" s="14">
        <f t="shared" si="274"/>
        <v>55.315980806891545</v>
      </c>
      <c r="Y101" s="14">
        <f t="shared" si="275"/>
        <v>48.764199389280542</v>
      </c>
      <c r="Z101" s="14">
        <f t="shared" si="276"/>
        <v>42.140585208933928</v>
      </c>
      <c r="AA101" s="14">
        <f t="shared" si="277"/>
        <v>35.432082859520143</v>
      </c>
      <c r="AB101" s="14">
        <f t="shared" si="278"/>
        <v>28.629933294008922</v>
      </c>
      <c r="AC101" s="14">
        <f t="shared" si="279"/>
        <v>21.729018623412841</v>
      </c>
      <c r="AD101" s="14">
        <f t="shared" si="280"/>
        <v>14.7274730504475</v>
      </c>
      <c r="AE101" s="14">
        <f t="shared" si="281"/>
        <v>7.6265103931046028</v>
      </c>
      <c r="AF101" s="12"/>
      <c r="AG101" s="12"/>
      <c r="AH101" s="12"/>
      <c r="AI101" s="12"/>
      <c r="AJ101" s="12"/>
      <c r="AK101" s="24"/>
      <c r="AL101" s="24"/>
      <c r="AM101" s="24"/>
      <c r="AN101" s="24"/>
      <c r="AO101" s="24"/>
      <c r="AP101" s="24"/>
      <c r="AQ101" s="24"/>
      <c r="AR101" s="24"/>
      <c r="AS101" s="24"/>
      <c r="AT101" s="32"/>
      <c r="AV101" s="47"/>
      <c r="AW101" s="26">
        <f t="shared" si="240"/>
        <v>-120197000</v>
      </c>
      <c r="AX101" s="26">
        <f t="shared" si="291"/>
        <v>-115607417.32378137</v>
      </c>
      <c r="AY101" s="26">
        <f t="shared" si="292"/>
        <v>-110992463.34461054</v>
      </c>
      <c r="AZ101" s="26">
        <f t="shared" si="293"/>
        <v>-106335723.96154459</v>
      </c>
      <c r="BA101" s="26">
        <f t="shared" si="294"/>
        <v>-101621134.7252418</v>
      </c>
      <c r="BB101" s="26">
        <f t="shared" si="295"/>
        <v>-96832508.36630705</v>
      </c>
      <c r="BC101" s="26">
        <f t="shared" si="296"/>
        <v>-91953000.048593581</v>
      </c>
      <c r="BD101" s="26">
        <f t="shared" si="297"/>
        <v>-86964481.947268933</v>
      </c>
      <c r="BE101" s="26">
        <f t="shared" si="298"/>
        <v>-81846791.125448614</v>
      </c>
      <c r="BF101" s="26">
        <f t="shared" si="299"/>
        <v>-76576804.48185119</v>
      </c>
      <c r="BG101" s="26">
        <f t="shared" si="300"/>
        <v>-71127280.973545536</v>
      </c>
      <c r="BH101" s="26">
        <f t="shared" si="301"/>
        <v>-65465393.326106906</v>
      </c>
      <c r="BI101" s="26">
        <f t="shared" si="302"/>
        <v>-59550847.623996176</v>
      </c>
      <c r="BJ101" s="26">
        <f t="shared" si="303"/>
        <v>-53333457.662798434</v>
      </c>
      <c r="BK101" s="26">
        <f t="shared" si="304"/>
        <v>-46749999.269974798</v>
      </c>
      <c r="BL101" s="26">
        <f t="shared" si="305"/>
        <v>-39720114.683850884</v>
      </c>
      <c r="BM101" s="26">
        <f t="shared" si="282"/>
        <v>-33889629.789823078</v>
      </c>
      <c r="BN101" s="26">
        <f t="shared" si="283"/>
        <v>-28950969.345638774</v>
      </c>
      <c r="BO101" s="26">
        <f t="shared" si="284"/>
        <v>-24672043.742814653</v>
      </c>
      <c r="BP101" s="26">
        <f t="shared" si="285"/>
        <v>-20877957.950457774</v>
      </c>
      <c r="BQ101" s="26">
        <f t="shared" si="286"/>
        <v>-17436805.11388794</v>
      </c>
      <c r="BR101" s="26">
        <f t="shared" si="287"/>
        <v>-14248936.089247435</v>
      </c>
      <c r="BS101" s="26">
        <f t="shared" si="288"/>
        <v>-11238829.645078765</v>
      </c>
      <c r="BT101" s="26">
        <f t="shared" si="289"/>
        <v>-8348897.8148168568</v>
      </c>
      <c r="BU101" s="26">
        <f t="shared" si="290"/>
        <v>-5534716.4267673474</v>
      </c>
      <c r="BV101" s="26">
        <f t="shared" si="241"/>
        <v>-2761284.7802369427</v>
      </c>
      <c r="BW101" s="12"/>
      <c r="BX101" s="12"/>
      <c r="BY101" s="12"/>
      <c r="BZ101" s="12"/>
      <c r="CA101" s="12"/>
      <c r="CB101" s="24"/>
      <c r="CC101" s="24"/>
      <c r="CD101" s="24"/>
      <c r="CE101" s="24"/>
      <c r="CF101" s="24"/>
      <c r="CG101" s="24"/>
      <c r="CH101" s="24"/>
      <c r="CI101" s="24"/>
      <c r="CJ101" s="24"/>
      <c r="CK101" s="32"/>
      <c r="CM101" s="47"/>
      <c r="CN101" s="26">
        <v>1</v>
      </c>
      <c r="CO101" s="26">
        <v>1</v>
      </c>
      <c r="CP101" s="26">
        <v>1</v>
      </c>
      <c r="CQ101" s="26">
        <v>1</v>
      </c>
      <c r="CR101" s="26">
        <v>1</v>
      </c>
      <c r="CS101" s="26">
        <v>1</v>
      </c>
      <c r="CT101" s="26">
        <v>1</v>
      </c>
      <c r="CU101" s="26">
        <v>1</v>
      </c>
      <c r="CV101" s="26">
        <v>1</v>
      </c>
      <c r="CW101" s="26">
        <v>1</v>
      </c>
      <c r="CX101" s="26">
        <v>1</v>
      </c>
      <c r="CY101" s="26">
        <v>1</v>
      </c>
      <c r="CZ101" s="26">
        <v>1</v>
      </c>
      <c r="DA101" s="26">
        <v>1</v>
      </c>
      <c r="DB101" s="26">
        <v>1</v>
      </c>
      <c r="DC101" s="14">
        <f t="shared" si="216"/>
        <v>0.74732906789635523</v>
      </c>
      <c r="DD101" s="14">
        <f t="shared" si="217"/>
        <v>0.74732906789635523</v>
      </c>
      <c r="DE101" s="14">
        <f t="shared" si="218"/>
        <v>0.74732906789635523</v>
      </c>
      <c r="DF101" s="14">
        <f t="shared" si="219"/>
        <v>0.74732906789635523</v>
      </c>
      <c r="DG101" s="14">
        <f t="shared" si="220"/>
        <v>0.74732906789635523</v>
      </c>
      <c r="DH101" s="14">
        <f t="shared" si="221"/>
        <v>0.74732906789635523</v>
      </c>
      <c r="DI101" s="14">
        <f t="shared" si="222"/>
        <v>0.74732906789635523</v>
      </c>
      <c r="DJ101" s="14">
        <f t="shared" si="223"/>
        <v>0.74732906789635523</v>
      </c>
      <c r="DK101" s="14">
        <f t="shared" si="224"/>
        <v>0.74732906789635523</v>
      </c>
      <c r="DL101" s="14">
        <f t="shared" si="225"/>
        <v>0.74732906789635523</v>
      </c>
      <c r="DM101" s="14">
        <f t="shared" si="226"/>
        <v>0.74732906789635523</v>
      </c>
      <c r="DN101" s="12"/>
      <c r="DO101" s="12"/>
      <c r="DP101" s="12"/>
      <c r="DQ101" s="12"/>
      <c r="DR101" s="12"/>
      <c r="DS101" s="24"/>
      <c r="DT101" s="24"/>
      <c r="DU101" s="24"/>
      <c r="DV101" s="24"/>
      <c r="DW101" s="24"/>
      <c r="DX101" s="24"/>
      <c r="DY101" s="24"/>
      <c r="DZ101" s="24"/>
      <c r="EA101" s="24"/>
      <c r="EB101" s="32"/>
      <c r="ED101" s="47"/>
      <c r="EE101" s="50">
        <v>0</v>
      </c>
      <c r="EF101" s="50">
        <v>0</v>
      </c>
      <c r="EG101" s="50">
        <v>0</v>
      </c>
      <c r="EH101" s="50">
        <v>0</v>
      </c>
      <c r="EI101" s="50">
        <v>0</v>
      </c>
      <c r="EJ101" s="50">
        <v>0</v>
      </c>
      <c r="EK101" s="50">
        <v>0</v>
      </c>
      <c r="EL101" s="50">
        <v>0</v>
      </c>
      <c r="EM101" s="50">
        <v>0</v>
      </c>
      <c r="EN101" s="50">
        <v>0</v>
      </c>
      <c r="EO101" s="50">
        <v>0</v>
      </c>
      <c r="EP101" s="50">
        <v>0</v>
      </c>
      <c r="EQ101" s="50">
        <v>0</v>
      </c>
      <c r="ER101" s="50">
        <v>0</v>
      </c>
      <c r="ES101" s="50">
        <v>0</v>
      </c>
      <c r="ET101" s="14">
        <f t="shared" ref="ET101:ET125" si="320">(ET102*$C$26-BL101)/($C$25-$C$26*DC102)</f>
        <v>7.6348655165146804</v>
      </c>
      <c r="EU101" s="14">
        <f t="shared" ref="EU101:EU125" si="321">(EU102*$C$26-BM101)/($C$25-$C$26*DD102)</f>
        <v>7.6818702104983734</v>
      </c>
      <c r="EV101" s="14">
        <f t="shared" ref="EV101:EV125" si="322">(EV102*$C$26-BN101)/($C$25-$C$26*DE102)</f>
        <v>7.4970690505280997</v>
      </c>
      <c r="EW101" s="14">
        <f t="shared" ref="EW101:EW125" si="323">(EW102*$C$26-BO101)/($C$25-$C$26*DF102)</f>
        <v>7.1187969881047897</v>
      </c>
      <c r="EX101" s="14">
        <f t="shared" ref="EX101:EX125" si="324">(EX102*$C$26-BP101)/($C$25-$C$26*DG102)</f>
        <v>6.5788165697750793</v>
      </c>
      <c r="EY101" s="14">
        <f t="shared" ref="EY101:EY125" si="325">(EY102*$C$26-BQ101)/($C$25-$C$26*DH102)</f>
        <v>5.903680398040434</v>
      </c>
      <c r="EZ101" s="14">
        <f t="shared" ref="EZ101:EZ125" si="326">(EZ102*$C$26-BR101)/($C$25-$C$26*DI102)</f>
        <v>5.1158596861301078</v>
      </c>
      <c r="FA101" s="14">
        <f t="shared" ref="FA101:FA125" si="327">(FA102*$C$26-BS101)/($C$25-$C$26*DJ102)</f>
        <v>4.2346899520605339</v>
      </c>
      <c r="FB101" s="14">
        <f t="shared" ref="FB101:FB125" si="328">(FB102*$C$26-BT101)/($C$25-$C$26*DK102)</f>
        <v>3.2771763298644028</v>
      </c>
      <c r="FC101" s="14">
        <f t="shared" ref="FC101:FC125" si="329">(FC102*$C$26-BU101)/($C$25-$C$26*DL102)</f>
        <v>2.2586942798315151</v>
      </c>
      <c r="FD101" s="14">
        <f t="shared" ref="FD101:FD125" si="330">(FD102*$C$26-BV101)/($C$25-$C$26*DM102)</f>
        <v>1.1936163677109994</v>
      </c>
      <c r="FE101" s="12"/>
      <c r="FF101" s="12"/>
      <c r="FG101" s="12"/>
      <c r="FH101" s="12"/>
      <c r="FI101" s="12"/>
      <c r="FJ101" s="24"/>
      <c r="FK101" s="24"/>
      <c r="FL101" s="24"/>
      <c r="FM101" s="24"/>
      <c r="FN101" s="24"/>
      <c r="FO101" s="24"/>
      <c r="FP101" s="24"/>
      <c r="FQ101" s="24"/>
      <c r="FR101" s="24"/>
      <c r="FS101" s="32"/>
    </row>
    <row r="102" spans="5:175" ht="15" customHeight="1" x14ac:dyDescent="0.25">
      <c r="E102" s="46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4">
        <f t="shared" ref="U102:U126" si="331">DC102*U101+ET102</f>
        <v>56.219235386886311</v>
      </c>
      <c r="V102" s="14">
        <f t="shared" ref="V102:V126" si="332">DD102*V101+EU102</f>
        <v>52.879549390758172</v>
      </c>
      <c r="W102" s="14">
        <f t="shared" ref="W102:W126" si="333">DE102*W101+EV102</f>
        <v>49.025694809953535</v>
      </c>
      <c r="X102" s="14">
        <f t="shared" ref="X102:X126" si="334">DF102*X101+EW102</f>
        <v>44.727577687799752</v>
      </c>
      <c r="Y102" s="14">
        <f t="shared" ref="Y102:Y126" si="335">DG102*Y101+EX102</f>
        <v>40.0524952838255</v>
      </c>
      <c r="Z102" s="14">
        <f t="shared" ref="Z102:Z126" si="336">DH102*Z101+EY102</f>
        <v>35.055084160622698</v>
      </c>
      <c r="AA102" s="14">
        <f t="shared" ref="AA102:AA126" si="337">DI102*AA101+EZ102</f>
        <v>29.780444675210024</v>
      </c>
      <c r="AB102" s="14">
        <f t="shared" ref="AB102:AB126" si="338">DJ102*AB101+FA102</f>
        <v>24.266690141789432</v>
      </c>
      <c r="AC102" s="14">
        <f t="shared" ref="AC102:AC126" si="339">DK102*AC101+FB102</f>
        <v>18.547075723633885</v>
      </c>
      <c r="AD102" s="14">
        <f t="shared" ref="AD102:AD126" si="340">DL102*AD101+FC102</f>
        <v>12.651831727178187</v>
      </c>
      <c r="AE102" s="14">
        <f t="shared" ref="AE102:AE126" si="341">DM102*AE101+FD102</f>
        <v>6.6098038265566412</v>
      </c>
      <c r="AF102" s="12"/>
      <c r="AG102" s="12"/>
      <c r="AH102" s="12"/>
      <c r="AI102" s="12"/>
      <c r="AJ102" s="12"/>
      <c r="AK102" s="24"/>
      <c r="AL102" s="24"/>
      <c r="AM102" s="24"/>
      <c r="AN102" s="24"/>
      <c r="AO102" s="24"/>
      <c r="AP102" s="24"/>
      <c r="AQ102" s="24"/>
      <c r="AR102" s="24"/>
      <c r="AS102" s="24"/>
      <c r="AT102" s="32"/>
      <c r="AV102" s="47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26">
        <f t="shared" ref="BL102:BL126" si="342">-($C$16*$C$15*U60)/($C$13)</f>
        <v>-790887.80321212346</v>
      </c>
      <c r="BM102" s="26">
        <f t="shared" ref="BM102:BM126" si="343">-($C$16*$C$15*V60)/($C$13)</f>
        <v>-3980691.1296984083</v>
      </c>
      <c r="BN102" s="26">
        <f t="shared" ref="BN102:BN126" si="344">-($C$16*$C$15*W60)/($C$13)</f>
        <v>-5959195.4158276645</v>
      </c>
      <c r="BO102" s="26">
        <f t="shared" ref="BO102:BO126" si="345">-($C$16*$C$15*X60)/($C$13)</f>
        <v>-7008483.0327246087</v>
      </c>
      <c r="BP102" s="26">
        <f t="shared" ref="BP102:BP126" si="346">-($C$16*$C$15*Y60)/($C$13)</f>
        <v>-7344288.9720290694</v>
      </c>
      <c r="BQ102" s="26">
        <f t="shared" ref="BQ102:BQ126" si="347">-($C$16*$C$15*Z60)/($C$13)</f>
        <v>-7132456.2822106658</v>
      </c>
      <c r="BR102" s="26">
        <f t="shared" ref="BR102:BR126" si="348">-($C$16*$C$15*AA60)/($C$13)</f>
        <v>-6501500.7778296974</v>
      </c>
      <c r="BS102" s="26">
        <f t="shared" ref="BS102:BS126" si="349">-($C$16*$C$15*AB60)/($C$13)</f>
        <v>-5552266.7327865968</v>
      </c>
      <c r="BT102" s="26">
        <f t="shared" ref="BT102:BT126" si="350">-($C$16*$C$15*AC60)/($C$13)</f>
        <v>-4365423.6363689667</v>
      </c>
      <c r="BU102" s="26">
        <f t="shared" ref="BU102:BU126" si="351">-($C$16*$C$15*AD60)/($C$13)</f>
        <v>-3007381.9872723268</v>
      </c>
      <c r="BV102" s="26">
        <f t="shared" ref="BV102:BV126" si="352">-($C$16*$C$15*AE60)/($C$13)</f>
        <v>-1535079.7147075082</v>
      </c>
      <c r="BW102" s="12"/>
      <c r="BX102" s="12"/>
      <c r="BY102" s="12"/>
      <c r="BZ102" s="12"/>
      <c r="CA102" s="12"/>
      <c r="CB102" s="24"/>
      <c r="CC102" s="24"/>
      <c r="CD102" s="24"/>
      <c r="CE102" s="24"/>
      <c r="CF102" s="24"/>
      <c r="CG102" s="24"/>
      <c r="CH102" s="24"/>
      <c r="CI102" s="24"/>
      <c r="CJ102" s="24"/>
      <c r="CK102" s="32"/>
      <c r="CM102" s="47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4">
        <f t="shared" si="216"/>
        <v>0.74732923325401179</v>
      </c>
      <c r="DD102" s="14">
        <f t="shared" si="217"/>
        <v>0.74732923325401179</v>
      </c>
      <c r="DE102" s="14">
        <f t="shared" si="218"/>
        <v>0.74732923325401179</v>
      </c>
      <c r="DF102" s="14">
        <f t="shared" si="219"/>
        <v>0.74732923325401179</v>
      </c>
      <c r="DG102" s="14">
        <f t="shared" si="220"/>
        <v>0.74732923325401179</v>
      </c>
      <c r="DH102" s="14">
        <f t="shared" si="221"/>
        <v>0.74732923325401179</v>
      </c>
      <c r="DI102" s="14">
        <f t="shared" si="222"/>
        <v>0.74732923325401179</v>
      </c>
      <c r="DJ102" s="14">
        <f t="shared" si="223"/>
        <v>0.74732923325401179</v>
      </c>
      <c r="DK102" s="14">
        <f t="shared" si="224"/>
        <v>0.74732923325401179</v>
      </c>
      <c r="DL102" s="14">
        <f t="shared" si="225"/>
        <v>0.74732923325401179</v>
      </c>
      <c r="DM102" s="14">
        <f t="shared" si="226"/>
        <v>0.74732923325401179</v>
      </c>
      <c r="DN102" s="12"/>
      <c r="DO102" s="12"/>
      <c r="DP102" s="12"/>
      <c r="DQ102" s="12"/>
      <c r="DR102" s="12"/>
      <c r="DS102" s="24"/>
      <c r="DT102" s="24"/>
      <c r="DU102" s="24"/>
      <c r="DV102" s="24"/>
      <c r="DW102" s="24"/>
      <c r="DX102" s="24"/>
      <c r="DY102" s="24"/>
      <c r="DZ102" s="24"/>
      <c r="EA102" s="24"/>
      <c r="EB102" s="32"/>
      <c r="ED102" s="47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4">
        <f t="shared" si="320"/>
        <v>0.33557752510992189</v>
      </c>
      <c r="EU102" s="14">
        <f t="shared" si="321"/>
        <v>1.8488438182366895</v>
      </c>
      <c r="EV102" s="14">
        <f t="shared" si="322"/>
        <v>2.8300841382839921</v>
      </c>
      <c r="EW102" s="14">
        <f t="shared" si="323"/>
        <v>3.3883281646918637</v>
      </c>
      <c r="EX102" s="14">
        <f t="shared" si="324"/>
        <v>3.6095835439887205</v>
      </c>
      <c r="EY102" s="14">
        <f t="shared" si="325"/>
        <v>3.562192927554757</v>
      </c>
      <c r="EZ102" s="14">
        <f t="shared" si="326"/>
        <v>3.3010133592122202</v>
      </c>
      <c r="FA102" s="14">
        <f t="shared" si="327"/>
        <v>2.870704045064242</v>
      </c>
      <c r="FB102" s="14">
        <f t="shared" si="328"/>
        <v>2.3083448964366218</v>
      </c>
      <c r="FC102" s="14">
        <f t="shared" si="329"/>
        <v>1.6455605846181354</v>
      </c>
      <c r="FD102" s="14">
        <f t="shared" si="330"/>
        <v>0.91028966207402662</v>
      </c>
      <c r="FE102" s="12"/>
      <c r="FF102" s="12"/>
      <c r="FG102" s="12"/>
      <c r="FH102" s="12"/>
      <c r="FI102" s="12"/>
      <c r="FJ102" s="24"/>
      <c r="FK102" s="24"/>
      <c r="FL102" s="24"/>
      <c r="FM102" s="24"/>
      <c r="FN102" s="24"/>
      <c r="FO102" s="24"/>
      <c r="FP102" s="24"/>
      <c r="FQ102" s="24"/>
      <c r="FR102" s="24"/>
      <c r="FS102" s="32"/>
    </row>
    <row r="103" spans="5:175" ht="15" customHeight="1" x14ac:dyDescent="0.25">
      <c r="E103" s="46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4">
        <f t="shared" si="331"/>
        <v>42.266592187758619</v>
      </c>
      <c r="V103" s="14">
        <f t="shared" si="332"/>
        <v>41.002161911368496</v>
      </c>
      <c r="W103" s="14">
        <f t="shared" si="333"/>
        <v>38.94289337101754</v>
      </c>
      <c r="X103" s="14">
        <f t="shared" si="334"/>
        <v>36.216752105230242</v>
      </c>
      <c r="Y103" s="14">
        <f t="shared" si="335"/>
        <v>32.935452610793909</v>
      </c>
      <c r="Z103" s="14">
        <f t="shared" si="336"/>
        <v>29.190021102418527</v>
      </c>
      <c r="AA103" s="14">
        <f t="shared" si="337"/>
        <v>25.055597419390182</v>
      </c>
      <c r="AB103" s="14">
        <f t="shared" si="338"/>
        <v>20.595337535765648</v>
      </c>
      <c r="AC103" s="14">
        <f t="shared" si="339"/>
        <v>15.863643547397556</v>
      </c>
      <c r="AD103" s="14">
        <f t="shared" si="340"/>
        <v>10.908904350295742</v>
      </c>
      <c r="AE103" s="14">
        <f t="shared" si="341"/>
        <v>5.7758980349859366</v>
      </c>
      <c r="AF103" s="12"/>
      <c r="AG103" s="12"/>
      <c r="AH103" s="12"/>
      <c r="AI103" s="12"/>
      <c r="AJ103" s="12"/>
      <c r="AK103" s="24"/>
      <c r="AL103" s="24"/>
      <c r="AM103" s="24"/>
      <c r="AN103" s="24"/>
      <c r="AO103" s="24"/>
      <c r="AP103" s="24"/>
      <c r="AQ103" s="24"/>
      <c r="AR103" s="24"/>
      <c r="AS103" s="24"/>
      <c r="AT103" s="32"/>
      <c r="AV103" s="47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26">
        <f t="shared" si="342"/>
        <v>-594603.11074306339</v>
      </c>
      <c r="BM103" s="26">
        <f t="shared" si="343"/>
        <v>-3157991.6529941717</v>
      </c>
      <c r="BN103" s="26">
        <f t="shared" si="344"/>
        <v>-4788254.1681530904</v>
      </c>
      <c r="BO103" s="26">
        <f t="shared" si="345"/>
        <v>-5685074.5659627179</v>
      </c>
      <c r="BP103" s="26">
        <f t="shared" si="346"/>
        <v>-6005044.8343601683</v>
      </c>
      <c r="BQ103" s="26">
        <f t="shared" si="347"/>
        <v>-5871764.9187746868</v>
      </c>
      <c r="BR103" s="26">
        <f t="shared" si="348"/>
        <v>-5383731.1071014982</v>
      </c>
      <c r="BS103" s="26">
        <f t="shared" si="349"/>
        <v>-4620545.9316151515</v>
      </c>
      <c r="BT103" s="26">
        <f t="shared" si="350"/>
        <v>-3647865.5960346842</v>
      </c>
      <c r="BU103" s="26">
        <f t="shared" si="351"/>
        <v>-2521412.8156673657</v>
      </c>
      <c r="BV103" s="26">
        <f t="shared" si="352"/>
        <v>-1290317.4739558706</v>
      </c>
      <c r="BW103" s="12"/>
      <c r="BX103" s="12"/>
      <c r="BY103" s="12"/>
      <c r="BZ103" s="12"/>
      <c r="CA103" s="12"/>
      <c r="CB103" s="24"/>
      <c r="CC103" s="24"/>
      <c r="CD103" s="24"/>
      <c r="CE103" s="24"/>
      <c r="CF103" s="24"/>
      <c r="CG103" s="24"/>
      <c r="CH103" s="24"/>
      <c r="CI103" s="24"/>
      <c r="CJ103" s="24"/>
      <c r="CK103" s="32"/>
      <c r="CM103" s="47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4">
        <f t="shared" si="216"/>
        <v>0.74732952932814267</v>
      </c>
      <c r="DD103" s="14">
        <f t="shared" si="217"/>
        <v>0.74732952932814267</v>
      </c>
      <c r="DE103" s="14">
        <f t="shared" si="218"/>
        <v>0.74732952932814267</v>
      </c>
      <c r="DF103" s="14">
        <f t="shared" si="219"/>
        <v>0.74732952932814267</v>
      </c>
      <c r="DG103" s="14">
        <f t="shared" si="220"/>
        <v>0.74732952932814267</v>
      </c>
      <c r="DH103" s="14">
        <f t="shared" si="221"/>
        <v>0.74732952932814267</v>
      </c>
      <c r="DI103" s="14">
        <f t="shared" si="222"/>
        <v>0.74732952932814267</v>
      </c>
      <c r="DJ103" s="14">
        <f t="shared" si="223"/>
        <v>0.74732952932814267</v>
      </c>
      <c r="DK103" s="14">
        <f t="shared" si="224"/>
        <v>0.74732952932814267</v>
      </c>
      <c r="DL103" s="14">
        <f t="shared" si="225"/>
        <v>0.74732952932814267</v>
      </c>
      <c r="DM103" s="14">
        <f t="shared" si="226"/>
        <v>0.74732952932814267</v>
      </c>
      <c r="DN103" s="12"/>
      <c r="DO103" s="12"/>
      <c r="DP103" s="12"/>
      <c r="DQ103" s="12"/>
      <c r="DR103" s="12"/>
      <c r="DS103" s="24"/>
      <c r="DT103" s="24"/>
      <c r="DU103" s="24"/>
      <c r="DV103" s="24"/>
      <c r="DW103" s="24"/>
      <c r="DX103" s="24"/>
      <c r="DY103" s="24"/>
      <c r="DZ103" s="24"/>
      <c r="EA103" s="24"/>
      <c r="EB103" s="32"/>
      <c r="ED103" s="47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4">
        <f t="shared" si="320"/>
        <v>0.25229746688881205</v>
      </c>
      <c r="EU103" s="14">
        <f t="shared" si="321"/>
        <v>1.4837131540889188</v>
      </c>
      <c r="EV103" s="14">
        <f t="shared" si="322"/>
        <v>2.3045439437097985</v>
      </c>
      <c r="EW103" s="14">
        <f t="shared" si="323"/>
        <v>2.7905125238189163</v>
      </c>
      <c r="EX103" s="14">
        <f t="shared" si="324"/>
        <v>3.0030401619149396</v>
      </c>
      <c r="EY103" s="14">
        <f t="shared" si="325"/>
        <v>2.9923215561019361</v>
      </c>
      <c r="EZ103" s="14">
        <f t="shared" si="326"/>
        <v>2.7997917170826803</v>
      </c>
      <c r="FA103" s="14">
        <f t="shared" si="327"/>
        <v>2.4601234137502694</v>
      </c>
      <c r="FB103" s="14">
        <f t="shared" si="328"/>
        <v>2.0028661764408242</v>
      </c>
      <c r="FC103" s="14">
        <f t="shared" si="329"/>
        <v>1.4538169004848041</v>
      </c>
      <c r="FD103" s="14">
        <f t="shared" si="330"/>
        <v>0.83619645233400519</v>
      </c>
      <c r="FE103" s="12"/>
      <c r="FF103" s="12"/>
      <c r="FG103" s="12"/>
      <c r="FH103" s="12"/>
      <c r="FI103" s="12"/>
      <c r="FJ103" s="24"/>
      <c r="FK103" s="24"/>
      <c r="FL103" s="24"/>
      <c r="FM103" s="24"/>
      <c r="FN103" s="24"/>
      <c r="FO103" s="24"/>
      <c r="FP103" s="24"/>
      <c r="FQ103" s="24"/>
      <c r="FR103" s="24"/>
      <c r="FS103" s="32"/>
    </row>
    <row r="104" spans="5:175" ht="15" customHeight="1" x14ac:dyDescent="0.25">
      <c r="E104" s="46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4">
        <f t="shared" si="331"/>
        <v>31.776782316585408</v>
      </c>
      <c r="V104" s="14">
        <f t="shared" si="332"/>
        <v>31.841931345065387</v>
      </c>
      <c r="W104" s="14">
        <f t="shared" si="333"/>
        <v>30.995792000072029</v>
      </c>
      <c r="X104" s="14">
        <f t="shared" si="334"/>
        <v>29.385648523162082</v>
      </c>
      <c r="Y104" s="14">
        <f t="shared" si="335"/>
        <v>27.138222948020687</v>
      </c>
      <c r="Z104" s="14">
        <f t="shared" si="336"/>
        <v>24.357961061183978</v>
      </c>
      <c r="AA104" s="14">
        <f t="shared" si="337"/>
        <v>21.131959655775677</v>
      </c>
      <c r="AB104" s="14">
        <f t="shared" si="338"/>
        <v>17.534011020517354</v>
      </c>
      <c r="AC104" s="14">
        <f t="shared" si="339"/>
        <v>13.627979249522566</v>
      </c>
      <c r="AD104" s="14">
        <f t="shared" si="340"/>
        <v>9.4706842162767781</v>
      </c>
      <c r="AE104" s="14">
        <f t="shared" si="341"/>
        <v>5.1144403601363759</v>
      </c>
      <c r="AF104" s="12"/>
      <c r="AG104" s="12"/>
      <c r="AH104" s="12"/>
      <c r="AI104" s="12"/>
      <c r="AJ104" s="12"/>
      <c r="AK104" s="24"/>
      <c r="AL104" s="24"/>
      <c r="AM104" s="24"/>
      <c r="AN104" s="24"/>
      <c r="AO104" s="24"/>
      <c r="AP104" s="24"/>
      <c r="AQ104" s="24"/>
      <c r="AR104" s="24"/>
      <c r="AS104" s="24"/>
      <c r="AT104" s="32"/>
      <c r="AV104" s="47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26">
        <f t="shared" si="342"/>
        <v>-447033.2864999501</v>
      </c>
      <c r="BM104" s="26">
        <f t="shared" si="343"/>
        <v>-2512785.88438458</v>
      </c>
      <c r="BN104" s="26">
        <f t="shared" si="344"/>
        <v>-3859033.4159567533</v>
      </c>
      <c r="BO104" s="26">
        <f t="shared" si="345"/>
        <v>-4625606.6558479872</v>
      </c>
      <c r="BP104" s="26">
        <f t="shared" si="346"/>
        <v>-4925230.1191145759</v>
      </c>
      <c r="BQ104" s="26">
        <f t="shared" si="347"/>
        <v>-4849434.1505195554</v>
      </c>
      <c r="BR104" s="26">
        <f t="shared" si="348"/>
        <v>-4473309.9736158065</v>
      </c>
      <c r="BS104" s="26">
        <f t="shared" si="349"/>
        <v>-3859369.3593247654</v>
      </c>
      <c r="BT104" s="26">
        <f t="shared" si="350"/>
        <v>-3060719.9814943429</v>
      </c>
      <c r="BU104" s="26">
        <f t="shared" si="351"/>
        <v>-2123728.6703208354</v>
      </c>
      <c r="BV104" s="26">
        <f t="shared" si="352"/>
        <v>-1090315.470698508</v>
      </c>
      <c r="BW104" s="12"/>
      <c r="BX104" s="12"/>
      <c r="BY104" s="12"/>
      <c r="BZ104" s="12"/>
      <c r="CA104" s="12"/>
      <c r="CB104" s="24"/>
      <c r="CC104" s="24"/>
      <c r="CD104" s="24"/>
      <c r="CE104" s="24"/>
      <c r="CF104" s="24"/>
      <c r="CG104" s="24"/>
      <c r="CH104" s="24"/>
      <c r="CI104" s="24"/>
      <c r="CJ104" s="24"/>
      <c r="CK104" s="32"/>
      <c r="CM104" s="47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4">
        <f t="shared" si="216"/>
        <v>0.74733005945077935</v>
      </c>
      <c r="DD104" s="14">
        <f t="shared" si="217"/>
        <v>0.74733005945077935</v>
      </c>
      <c r="DE104" s="14">
        <f t="shared" si="218"/>
        <v>0.74733005945077935</v>
      </c>
      <c r="DF104" s="14">
        <f t="shared" si="219"/>
        <v>0.74733005945077935</v>
      </c>
      <c r="DG104" s="14">
        <f t="shared" si="220"/>
        <v>0.74733005945077935</v>
      </c>
      <c r="DH104" s="14">
        <f t="shared" si="221"/>
        <v>0.74733005945077935</v>
      </c>
      <c r="DI104" s="14">
        <f t="shared" si="222"/>
        <v>0.74733005945077935</v>
      </c>
      <c r="DJ104" s="14">
        <f t="shared" si="223"/>
        <v>0.74733005945077935</v>
      </c>
      <c r="DK104" s="14">
        <f t="shared" si="224"/>
        <v>0.74733005945077935</v>
      </c>
      <c r="DL104" s="14">
        <f t="shared" si="225"/>
        <v>0.74733005945077935</v>
      </c>
      <c r="DM104" s="14">
        <f t="shared" si="226"/>
        <v>0.74733005945077935</v>
      </c>
      <c r="DN104" s="12"/>
      <c r="DO104" s="12"/>
      <c r="DP104" s="12"/>
      <c r="DQ104" s="12"/>
      <c r="DR104" s="12"/>
      <c r="DS104" s="24"/>
      <c r="DT104" s="24"/>
      <c r="DU104" s="24"/>
      <c r="DV104" s="24"/>
      <c r="DW104" s="24"/>
      <c r="DX104" s="24"/>
      <c r="DY104" s="24"/>
      <c r="DZ104" s="24"/>
      <c r="EA104" s="24"/>
      <c r="EB104" s="32"/>
      <c r="ED104" s="47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4">
        <f t="shared" si="320"/>
        <v>0.18968746412591234</v>
      </c>
      <c r="EU104" s="14">
        <f t="shared" si="321"/>
        <v>1.1997832462318876</v>
      </c>
      <c r="EV104" s="14">
        <f t="shared" si="322"/>
        <v>1.8925971819241316</v>
      </c>
      <c r="EW104" s="14">
        <f t="shared" si="323"/>
        <v>2.3197810192462303</v>
      </c>
      <c r="EX104" s="14">
        <f t="shared" si="324"/>
        <v>2.5245691903577501</v>
      </c>
      <c r="EY104" s="14">
        <f t="shared" si="325"/>
        <v>2.5433808553440356</v>
      </c>
      <c r="EZ104" s="14">
        <f t="shared" si="326"/>
        <v>2.4071585467680214</v>
      </c>
      <c r="FA104" s="14">
        <f t="shared" si="327"/>
        <v>2.1424961955047452</v>
      </c>
      <c r="FB104" s="14">
        <f t="shared" si="328"/>
        <v>1.7726015741399788</v>
      </c>
      <c r="FC104" s="14">
        <f t="shared" si="329"/>
        <v>1.318132079627395</v>
      </c>
      <c r="FD104" s="14">
        <f t="shared" si="330"/>
        <v>0.79793813826869597</v>
      </c>
      <c r="FE104" s="12"/>
      <c r="FF104" s="12"/>
      <c r="FG104" s="12"/>
      <c r="FH104" s="12"/>
      <c r="FI104" s="12"/>
      <c r="FJ104" s="24"/>
      <c r="FK104" s="24"/>
      <c r="FL104" s="24"/>
      <c r="FM104" s="24"/>
      <c r="FN104" s="24"/>
      <c r="FO104" s="24"/>
      <c r="FP104" s="24"/>
      <c r="FQ104" s="24"/>
      <c r="FR104" s="24"/>
      <c r="FS104" s="32"/>
    </row>
    <row r="105" spans="5:175" ht="15" customHeight="1" x14ac:dyDescent="0.25">
      <c r="E105" s="46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4">
        <f t="shared" si="331"/>
        <v>23.8903926684624</v>
      </c>
      <c r="V105" s="14">
        <f t="shared" si="332"/>
        <v>24.776817738498046</v>
      </c>
      <c r="W105" s="14">
        <f t="shared" si="333"/>
        <v>24.736636269103638</v>
      </c>
      <c r="X105" s="14">
        <f t="shared" si="334"/>
        <v>23.914249607754709</v>
      </c>
      <c r="Y105" s="14">
        <f t="shared" si="335"/>
        <v>22.43417199313172</v>
      </c>
      <c r="Z105" s="14">
        <f t="shared" si="336"/>
        <v>20.400422621221132</v>
      </c>
      <c r="AA105" s="14">
        <f t="shared" si="337"/>
        <v>17.900816322850403</v>
      </c>
      <c r="AB105" s="14">
        <f t="shared" si="338"/>
        <v>15.010535426995757</v>
      </c>
      <c r="AC105" s="14">
        <f t="shared" si="339"/>
        <v>11.795150934825863</v>
      </c>
      <c r="AD105" s="14">
        <f t="shared" si="340"/>
        <v>8.3132336601764543</v>
      </c>
      <c r="AE105" s="14">
        <f t="shared" si="341"/>
        <v>4.6186756300080907</v>
      </c>
      <c r="AF105" s="12"/>
      <c r="AG105" s="12"/>
      <c r="AH105" s="12"/>
      <c r="AI105" s="12"/>
      <c r="AJ105" s="12"/>
      <c r="AK105" s="24"/>
      <c r="AL105" s="24"/>
      <c r="AM105" s="24"/>
      <c r="AN105" s="24"/>
      <c r="AO105" s="24"/>
      <c r="AP105" s="24"/>
      <c r="AQ105" s="24"/>
      <c r="AR105" s="24"/>
      <c r="AS105" s="24"/>
      <c r="AT105" s="32"/>
      <c r="AV105" s="47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26">
        <f t="shared" si="342"/>
        <v>-336088.17418819969</v>
      </c>
      <c r="BM105" s="26">
        <f t="shared" si="343"/>
        <v>-2007215.8174696073</v>
      </c>
      <c r="BN105" s="26">
        <f t="shared" si="344"/>
        <v>-3122922.3559155399</v>
      </c>
      <c r="BO105" s="26">
        <f t="shared" si="345"/>
        <v>-3779699.0415903903</v>
      </c>
      <c r="BP105" s="26">
        <f t="shared" si="346"/>
        <v>-4057779.7821631557</v>
      </c>
      <c r="BQ105" s="26">
        <f t="shared" si="347"/>
        <v>-4024342.3985936129</v>
      </c>
      <c r="BR105" s="26">
        <f t="shared" si="348"/>
        <v>-3736195.8053625762</v>
      </c>
      <c r="BS105" s="26">
        <f t="shared" si="349"/>
        <v>-3242056.7949692635</v>
      </c>
      <c r="BT105" s="26">
        <f t="shared" si="350"/>
        <v>-2584506.1374993464</v>
      </c>
      <c r="BU105" s="26">
        <f t="shared" si="351"/>
        <v>-1801702.4665609538</v>
      </c>
      <c r="BV105" s="26">
        <f t="shared" si="352"/>
        <v>-928923.76050904696</v>
      </c>
      <c r="BW105" s="12"/>
      <c r="BX105" s="12"/>
      <c r="BY105" s="12"/>
      <c r="BZ105" s="12"/>
      <c r="CA105" s="12"/>
      <c r="CB105" s="24"/>
      <c r="CC105" s="24"/>
      <c r="CD105" s="24"/>
      <c r="CE105" s="24"/>
      <c r="CF105" s="24"/>
      <c r="CG105" s="24"/>
      <c r="CH105" s="24"/>
      <c r="CI105" s="24"/>
      <c r="CJ105" s="24"/>
      <c r="CK105" s="32"/>
      <c r="CM105" s="47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4">
        <f t="shared" si="216"/>
        <v>0.7473310086377225</v>
      </c>
      <c r="DD105" s="14">
        <f t="shared" si="217"/>
        <v>0.7473310086377225</v>
      </c>
      <c r="DE105" s="14">
        <f t="shared" si="218"/>
        <v>0.7473310086377225</v>
      </c>
      <c r="DF105" s="14">
        <f t="shared" si="219"/>
        <v>0.7473310086377225</v>
      </c>
      <c r="DG105" s="14">
        <f t="shared" si="220"/>
        <v>0.7473310086377225</v>
      </c>
      <c r="DH105" s="14">
        <f t="shared" si="221"/>
        <v>0.7473310086377225</v>
      </c>
      <c r="DI105" s="14">
        <f t="shared" si="222"/>
        <v>0.7473310086377225</v>
      </c>
      <c r="DJ105" s="14">
        <f t="shared" si="223"/>
        <v>0.7473310086377225</v>
      </c>
      <c r="DK105" s="14">
        <f t="shared" si="224"/>
        <v>0.7473310086377225</v>
      </c>
      <c r="DL105" s="14">
        <f t="shared" si="225"/>
        <v>0.7473310086377225</v>
      </c>
      <c r="DM105" s="14">
        <f t="shared" si="226"/>
        <v>0.7473310086377225</v>
      </c>
      <c r="DN105" s="12"/>
      <c r="DO105" s="12"/>
      <c r="DP105" s="12"/>
      <c r="DQ105" s="12"/>
      <c r="DR105" s="12"/>
      <c r="DS105" s="24"/>
      <c r="DT105" s="24"/>
      <c r="DU105" s="24"/>
      <c r="DV105" s="24"/>
      <c r="DW105" s="24"/>
      <c r="DX105" s="24"/>
      <c r="DY105" s="24"/>
      <c r="DZ105" s="24"/>
      <c r="EA105" s="24"/>
      <c r="EB105" s="32"/>
      <c r="ED105" s="47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4">
        <f t="shared" si="320"/>
        <v>0.14261788854728444</v>
      </c>
      <c r="EU105" s="14">
        <f t="shared" si="321"/>
        <v>0.98035506941721873</v>
      </c>
      <c r="EV105" s="14">
        <f t="shared" si="322"/>
        <v>1.5725197701647551</v>
      </c>
      <c r="EW105" s="14">
        <f t="shared" si="323"/>
        <v>1.9534432574663905</v>
      </c>
      <c r="EX105" s="14">
        <f t="shared" si="324"/>
        <v>2.1529364647520337</v>
      </c>
      <c r="EY105" s="14">
        <f t="shared" si="325"/>
        <v>2.1969630130081423</v>
      </c>
      <c r="EZ105" s="14">
        <f t="shared" si="326"/>
        <v>2.1082475988079059</v>
      </c>
      <c r="FA105" s="14">
        <f t="shared" si="327"/>
        <v>1.9068252855675791</v>
      </c>
      <c r="FB105" s="14">
        <f t="shared" si="328"/>
        <v>1.6105394565862097</v>
      </c>
      <c r="FC105" s="14">
        <f t="shared" si="329"/>
        <v>1.2354976723369717</v>
      </c>
      <c r="FD105" s="14">
        <f t="shared" si="330"/>
        <v>0.79649575704989606</v>
      </c>
      <c r="FE105" s="12"/>
      <c r="FF105" s="12"/>
      <c r="FG105" s="12"/>
      <c r="FH105" s="12"/>
      <c r="FI105" s="12"/>
      <c r="FJ105" s="24"/>
      <c r="FK105" s="24"/>
      <c r="FL105" s="24"/>
      <c r="FM105" s="24"/>
      <c r="FN105" s="24"/>
      <c r="FO105" s="24"/>
      <c r="FP105" s="24"/>
      <c r="FQ105" s="24"/>
      <c r="FR105" s="24"/>
      <c r="FS105" s="32"/>
    </row>
    <row r="106" spans="5:175" ht="15" customHeight="1" x14ac:dyDescent="0.25">
      <c r="E106" s="46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4">
        <f t="shared" si="331"/>
        <v>17.961304133775997</v>
      </c>
      <c r="V106" s="14">
        <f t="shared" si="332"/>
        <v>19.329027248917122</v>
      </c>
      <c r="W106" s="14">
        <f t="shared" si="333"/>
        <v>19.813832098239729</v>
      </c>
      <c r="X106" s="14">
        <f t="shared" si="334"/>
        <v>19.545570234313686</v>
      </c>
      <c r="Y106" s="14">
        <f t="shared" si="335"/>
        <v>18.637226402351743</v>
      </c>
      <c r="Z106" s="14">
        <f t="shared" si="336"/>
        <v>17.18456844443892</v>
      </c>
      <c r="AA106" s="14">
        <f t="shared" si="337"/>
        <v>15.269499491475054</v>
      </c>
      <c r="AB106" s="14">
        <f t="shared" si="338"/>
        <v>12.962895973118339</v>
      </c>
      <c r="AC106" s="14">
        <f t="shared" si="339"/>
        <v>10.327045156581534</v>
      </c>
      <c r="AD106" s="14">
        <f t="shared" si="340"/>
        <v>7.4177801779609176</v>
      </c>
      <c r="AE106" s="14">
        <f t="shared" si="341"/>
        <v>4.2863989158868527</v>
      </c>
      <c r="AF106" s="12"/>
      <c r="AG106" s="12"/>
      <c r="AH106" s="12"/>
      <c r="AI106" s="12"/>
      <c r="AJ106" s="12"/>
      <c r="AK106" s="24"/>
      <c r="AL106" s="24"/>
      <c r="AM106" s="24"/>
      <c r="AN106" s="24"/>
      <c r="AO106" s="24"/>
      <c r="AP106" s="24"/>
      <c r="AQ106" s="24"/>
      <c r="AR106" s="24"/>
      <c r="AS106" s="24"/>
      <c r="AT106" s="32"/>
      <c r="AV106" s="47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26">
        <f t="shared" si="342"/>
        <v>-252678.22074471816</v>
      </c>
      <c r="BM106" s="26">
        <f t="shared" si="343"/>
        <v>-1611832.5431179828</v>
      </c>
      <c r="BN106" s="26">
        <f t="shared" si="344"/>
        <v>-2541614.307326661</v>
      </c>
      <c r="BO106" s="26">
        <f t="shared" si="345"/>
        <v>-3107229.7522398643</v>
      </c>
      <c r="BP106" s="26">
        <f t="shared" si="346"/>
        <v>-3364868.364188625</v>
      </c>
      <c r="BQ106" s="26">
        <f t="shared" si="347"/>
        <v>-3363188.3192571849</v>
      </c>
      <c r="BR106" s="26">
        <f t="shared" si="348"/>
        <v>-3144663.6450872933</v>
      </c>
      <c r="BS106" s="26">
        <f t="shared" si="349"/>
        <v>-2746809.8419597242</v>
      </c>
      <c r="BT106" s="26">
        <f t="shared" si="350"/>
        <v>-2203309.4048375739</v>
      </c>
      <c r="BU106" s="26">
        <f t="shared" si="351"/>
        <v>-1545061.8856859163</v>
      </c>
      <c r="BV106" s="26">
        <f t="shared" si="352"/>
        <v>-801185.56387357065</v>
      </c>
      <c r="BW106" s="12"/>
      <c r="BX106" s="12"/>
      <c r="BY106" s="12"/>
      <c r="BZ106" s="12"/>
      <c r="CA106" s="12"/>
      <c r="CB106" s="24"/>
      <c r="CC106" s="24"/>
      <c r="CD106" s="24"/>
      <c r="CE106" s="24"/>
      <c r="CF106" s="24"/>
      <c r="CG106" s="24"/>
      <c r="CH106" s="24"/>
      <c r="CI106" s="24"/>
      <c r="CJ106" s="24"/>
      <c r="CK106" s="32"/>
      <c r="CM106" s="47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4">
        <f t="shared" si="216"/>
        <v>0.74733270815780906</v>
      </c>
      <c r="DD106" s="14">
        <f t="shared" si="217"/>
        <v>0.74733270815780906</v>
      </c>
      <c r="DE106" s="14">
        <f t="shared" si="218"/>
        <v>0.74733270815780906</v>
      </c>
      <c r="DF106" s="14">
        <f t="shared" si="219"/>
        <v>0.74733270815780906</v>
      </c>
      <c r="DG106" s="14">
        <f t="shared" si="220"/>
        <v>0.74733270815780906</v>
      </c>
      <c r="DH106" s="14">
        <f t="shared" si="221"/>
        <v>0.74733270815780906</v>
      </c>
      <c r="DI106" s="14">
        <f t="shared" si="222"/>
        <v>0.74733270815780906</v>
      </c>
      <c r="DJ106" s="14">
        <f t="shared" si="223"/>
        <v>0.74733270815780906</v>
      </c>
      <c r="DK106" s="14">
        <f t="shared" si="224"/>
        <v>0.74733270815780906</v>
      </c>
      <c r="DL106" s="14">
        <f t="shared" si="225"/>
        <v>0.74733270815780906</v>
      </c>
      <c r="DM106" s="14">
        <f t="shared" si="226"/>
        <v>0.74733270815780906</v>
      </c>
      <c r="DN106" s="12"/>
      <c r="DO106" s="12"/>
      <c r="DP106" s="12"/>
      <c r="DQ106" s="12"/>
      <c r="DR106" s="12"/>
      <c r="DS106" s="24"/>
      <c r="DT106" s="24"/>
      <c r="DU106" s="24"/>
      <c r="DV106" s="24"/>
      <c r="DW106" s="24"/>
      <c r="DX106" s="24"/>
      <c r="DY106" s="24"/>
      <c r="DZ106" s="24"/>
      <c r="EA106" s="24"/>
      <c r="EB106" s="32"/>
      <c r="ED106" s="47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4">
        <f t="shared" si="320"/>
        <v>0.10723228190052667</v>
      </c>
      <c r="EU106" s="14">
        <f t="shared" si="321"/>
        <v>0.81250094887293234</v>
      </c>
      <c r="EV106" s="14">
        <f t="shared" si="322"/>
        <v>1.327334724535822</v>
      </c>
      <c r="EW106" s="14">
        <f t="shared" si="323"/>
        <v>1.6736693113885366</v>
      </c>
      <c r="EX106" s="14">
        <f t="shared" si="324"/>
        <v>1.8714358914465408</v>
      </c>
      <c r="EY106" s="14">
        <f t="shared" si="325"/>
        <v>1.9386653593579029</v>
      </c>
      <c r="EZ106" s="14">
        <f t="shared" si="326"/>
        <v>1.8916339506837492</v>
      </c>
      <c r="FA106" s="14">
        <f t="shared" si="327"/>
        <v>1.7450318815628667</v>
      </c>
      <c r="FB106" s="14">
        <f t="shared" si="328"/>
        <v>1.5121430653280072</v>
      </c>
      <c r="FC106" s="14">
        <f t="shared" si="329"/>
        <v>1.2050287531525925</v>
      </c>
      <c r="FD106" s="14">
        <f t="shared" si="330"/>
        <v>0.83471154921043145</v>
      </c>
      <c r="FE106" s="12"/>
      <c r="FF106" s="12"/>
      <c r="FG106" s="12"/>
      <c r="FH106" s="12"/>
      <c r="FI106" s="12"/>
      <c r="FJ106" s="24"/>
      <c r="FK106" s="24"/>
      <c r="FL106" s="24"/>
      <c r="FM106" s="24"/>
      <c r="FN106" s="24"/>
      <c r="FO106" s="24"/>
      <c r="FP106" s="24"/>
      <c r="FQ106" s="24"/>
      <c r="FR106" s="24"/>
      <c r="FS106" s="32"/>
    </row>
    <row r="107" spans="5:175" ht="15" customHeight="1" x14ac:dyDescent="0.25">
      <c r="E107" s="46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4">
        <f t="shared" si="331"/>
        <v>13.503756107765376</v>
      </c>
      <c r="V107" s="14">
        <f t="shared" si="332"/>
        <v>15.131520837621055</v>
      </c>
      <c r="W107" s="14">
        <f t="shared" si="333"/>
        <v>15.951438850721793</v>
      </c>
      <c r="X107" s="14">
        <f t="shared" si="334"/>
        <v>16.073684387645834</v>
      </c>
      <c r="Y107" s="14">
        <f t="shared" si="335"/>
        <v>15.595387261051123</v>
      </c>
      <c r="Z107" s="14">
        <f t="shared" si="336"/>
        <v>14.600141177092539</v>
      </c>
      <c r="AA107" s="14">
        <f t="shared" si="337"/>
        <v>13.160368697481564</v>
      </c>
      <c r="AB107" s="14">
        <f t="shared" si="338"/>
        <v>11.339362960317684</v>
      </c>
      <c r="AC107" s="14">
        <f t="shared" si="339"/>
        <v>9.1930698367540344</v>
      </c>
      <c r="AD107" s="14">
        <f t="shared" si="340"/>
        <v>6.7716680348074272</v>
      </c>
      <c r="AE107" s="14">
        <f t="shared" si="341"/>
        <v>4.1210001997308616</v>
      </c>
      <c r="AF107" s="12"/>
      <c r="AG107" s="12"/>
      <c r="AH107" s="12"/>
      <c r="AI107" s="12"/>
      <c r="AJ107" s="12"/>
      <c r="AK107" s="24"/>
      <c r="AL107" s="24"/>
      <c r="AM107" s="24"/>
      <c r="AN107" s="24"/>
      <c r="AO107" s="24"/>
      <c r="AP107" s="24"/>
      <c r="AQ107" s="24"/>
      <c r="AR107" s="24"/>
      <c r="AS107" s="24"/>
      <c r="AT107" s="32"/>
      <c r="AV107" s="47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26">
        <f t="shared" si="342"/>
        <v>-189969.78400161694</v>
      </c>
      <c r="BM107" s="26">
        <f t="shared" si="343"/>
        <v>-1303747.3546013376</v>
      </c>
      <c r="BN107" s="26">
        <f t="shared" si="344"/>
        <v>-2084978.2233373518</v>
      </c>
      <c r="BO107" s="26">
        <f t="shared" si="345"/>
        <v>-2576346.8158829347</v>
      </c>
      <c r="BP107" s="26">
        <f t="shared" si="346"/>
        <v>-2816243.3048575409</v>
      </c>
      <c r="BQ107" s="26">
        <f t="shared" si="347"/>
        <v>-2839193.6410646862</v>
      </c>
      <c r="BR107" s="26">
        <f t="shared" si="348"/>
        <v>-2676356.589891192</v>
      </c>
      <c r="BS107" s="26">
        <f t="shared" si="349"/>
        <v>-2356060.851228212</v>
      </c>
      <c r="BT107" s="26">
        <f t="shared" si="350"/>
        <v>-1904368.248657427</v>
      </c>
      <c r="BU107" s="26">
        <f t="shared" si="351"/>
        <v>-1345658.815686337</v>
      </c>
      <c r="BV107" s="26">
        <f t="shared" si="352"/>
        <v>-703241.40518776258</v>
      </c>
      <c r="BW107" s="12"/>
      <c r="BX107" s="12"/>
      <c r="BY107" s="12"/>
      <c r="BZ107" s="12"/>
      <c r="CA107" s="12"/>
      <c r="CB107" s="24"/>
      <c r="CC107" s="24"/>
      <c r="CD107" s="24"/>
      <c r="CE107" s="24"/>
      <c r="CF107" s="24"/>
      <c r="CG107" s="24"/>
      <c r="CH107" s="24"/>
      <c r="CI107" s="24"/>
      <c r="CJ107" s="24"/>
      <c r="CK107" s="32"/>
      <c r="CM107" s="47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4">
        <f t="shared" si="216"/>
        <v>0.74733575113928807</v>
      </c>
      <c r="DD107" s="14">
        <f t="shared" si="217"/>
        <v>0.74733575113928807</v>
      </c>
      <c r="DE107" s="14">
        <f t="shared" si="218"/>
        <v>0.74733575113928807</v>
      </c>
      <c r="DF107" s="14">
        <f t="shared" si="219"/>
        <v>0.74733575113928807</v>
      </c>
      <c r="DG107" s="14">
        <f t="shared" si="220"/>
        <v>0.74733575113928807</v>
      </c>
      <c r="DH107" s="14">
        <f t="shared" si="221"/>
        <v>0.74733575113928807</v>
      </c>
      <c r="DI107" s="14">
        <f t="shared" si="222"/>
        <v>0.74733575113928807</v>
      </c>
      <c r="DJ107" s="14">
        <f t="shared" si="223"/>
        <v>0.74733575113928807</v>
      </c>
      <c r="DK107" s="14">
        <f t="shared" si="224"/>
        <v>0.74733575113928807</v>
      </c>
      <c r="DL107" s="14">
        <f t="shared" si="225"/>
        <v>0.74733575113928807</v>
      </c>
      <c r="DM107" s="14">
        <f t="shared" si="226"/>
        <v>0.74733575113928807</v>
      </c>
      <c r="DN107" s="12"/>
      <c r="DO107" s="12"/>
      <c r="DP107" s="12"/>
      <c r="DQ107" s="12"/>
      <c r="DR107" s="12"/>
      <c r="DS107" s="24"/>
      <c r="DT107" s="24"/>
      <c r="DU107" s="24"/>
      <c r="DV107" s="24"/>
      <c r="DW107" s="24"/>
      <c r="DX107" s="24"/>
      <c r="DY107" s="24"/>
      <c r="DZ107" s="24"/>
      <c r="EA107" s="24"/>
      <c r="EB107" s="32"/>
      <c r="ED107" s="47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4">
        <f t="shared" si="320"/>
        <v>8.0631391508692779E-2</v>
      </c>
      <c r="EU107" s="14">
        <f t="shared" si="321"/>
        <v>0.68624773975981113</v>
      </c>
      <c r="EV107" s="14">
        <f t="shared" si="322"/>
        <v>1.1438537566360698</v>
      </c>
      <c r="EW107" s="14">
        <f t="shared" si="323"/>
        <v>1.4665809751393051</v>
      </c>
      <c r="EX107" s="14">
        <f t="shared" si="324"/>
        <v>1.6671216684966108</v>
      </c>
      <c r="EY107" s="14">
        <f t="shared" si="325"/>
        <v>1.7574988106632714</v>
      </c>
      <c r="EZ107" s="14">
        <f t="shared" si="326"/>
        <v>1.7489258254990776</v>
      </c>
      <c r="FA107" s="14">
        <f t="shared" si="327"/>
        <v>1.6517273613068375</v>
      </c>
      <c r="FB107" s="14">
        <f t="shared" si="328"/>
        <v>1.4752997876108263</v>
      </c>
      <c r="FC107" s="14">
        <f t="shared" si="329"/>
        <v>1.2280957137248822</v>
      </c>
      <c r="FD107" s="14">
        <f t="shared" si="330"/>
        <v>0.91762104624393082</v>
      </c>
      <c r="FE107" s="12"/>
      <c r="FF107" s="12"/>
      <c r="FG107" s="12"/>
      <c r="FH107" s="12"/>
      <c r="FI107" s="12"/>
      <c r="FJ107" s="24"/>
      <c r="FK107" s="24"/>
      <c r="FL107" s="24"/>
      <c r="FM107" s="24"/>
      <c r="FN107" s="24"/>
      <c r="FO107" s="24"/>
      <c r="FP107" s="24"/>
      <c r="FQ107" s="24"/>
      <c r="FR107" s="24"/>
      <c r="FS107" s="32"/>
    </row>
    <row r="108" spans="5:175" ht="15" customHeight="1" x14ac:dyDescent="0.25">
      <c r="E108" s="46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4">
        <f t="shared" si="331"/>
        <v>10.152548912234153</v>
      </c>
      <c r="V108" s="14">
        <f t="shared" si="332"/>
        <v>11.90235261822909</v>
      </c>
      <c r="W108" s="14">
        <f t="shared" si="333"/>
        <v>12.933091599914686</v>
      </c>
      <c r="X108" s="14">
        <f t="shared" si="334"/>
        <v>13.334056719217386</v>
      </c>
      <c r="Y108" s="14">
        <f t="shared" si="335"/>
        <v>13.185270654161606</v>
      </c>
      <c r="Z108" s="14">
        <f t="shared" si="336"/>
        <v>12.556705661480594</v>
      </c>
      <c r="AA108" s="14">
        <f t="shared" si="337"/>
        <v>11.509739701547259</v>
      </c>
      <c r="AB108" s="14">
        <f t="shared" si="338"/>
        <v>10.098442678015559</v>
      </c>
      <c r="AC108" s="14">
        <f t="shared" si="339"/>
        <v>8.3707153613744545</v>
      </c>
      <c r="AD108" s="14">
        <f t="shared" si="340"/>
        <v>6.3693040062875754</v>
      </c>
      <c r="AE108" s="14">
        <f t="shared" si="341"/>
        <v>4.1327140416355199</v>
      </c>
      <c r="AF108" s="12"/>
      <c r="AG108" s="12"/>
      <c r="AH108" s="12"/>
      <c r="AI108" s="12"/>
      <c r="AJ108" s="12"/>
      <c r="AK108" s="24"/>
      <c r="AL108" s="24"/>
      <c r="AM108" s="24"/>
      <c r="AN108" s="24"/>
      <c r="AO108" s="24"/>
      <c r="AP108" s="24"/>
      <c r="AQ108" s="24"/>
      <c r="AR108" s="24"/>
      <c r="AS108" s="24"/>
      <c r="AT108" s="32"/>
      <c r="AV108" s="47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26">
        <f t="shared" si="342"/>
        <v>-142825.26346976019</v>
      </c>
      <c r="BM108" s="26">
        <f t="shared" si="343"/>
        <v>-1065202.7842525882</v>
      </c>
      <c r="BN108" s="26">
        <f t="shared" si="344"/>
        <v>-1729391.412392288</v>
      </c>
      <c r="BO108" s="26">
        <f t="shared" si="345"/>
        <v>-2161891.916516135</v>
      </c>
      <c r="BP108" s="26">
        <f t="shared" si="346"/>
        <v>-2387888.5207547126</v>
      </c>
      <c r="BQ108" s="26">
        <f t="shared" si="347"/>
        <v>-2431052.6629394358</v>
      </c>
      <c r="BR108" s="26">
        <f t="shared" si="348"/>
        <v>-2313512.3743035286</v>
      </c>
      <c r="BS108" s="26">
        <f t="shared" si="349"/>
        <v>-2055941.9455967485</v>
      </c>
      <c r="BT108" s="26">
        <f t="shared" si="350"/>
        <v>-1677741.8043679055</v>
      </c>
      <c r="BU108" s="26">
        <f t="shared" si="351"/>
        <v>-1197290.5566220409</v>
      </c>
      <c r="BV108" s="26">
        <f t="shared" si="352"/>
        <v>-632260.95775774261</v>
      </c>
      <c r="BW108" s="12"/>
      <c r="BX108" s="12"/>
      <c r="BY108" s="12"/>
      <c r="BZ108" s="12"/>
      <c r="CA108" s="12"/>
      <c r="CB108" s="24"/>
      <c r="CC108" s="24"/>
      <c r="CD108" s="24"/>
      <c r="CE108" s="24"/>
      <c r="CF108" s="24"/>
      <c r="CG108" s="24"/>
      <c r="CH108" s="24"/>
      <c r="CI108" s="24"/>
      <c r="CJ108" s="24"/>
      <c r="CK108" s="32"/>
      <c r="CM108" s="47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4">
        <f t="shared" si="216"/>
        <v>0.74734119954651379</v>
      </c>
      <c r="DD108" s="14">
        <f t="shared" si="217"/>
        <v>0.74734119954651379</v>
      </c>
      <c r="DE108" s="14">
        <f t="shared" si="218"/>
        <v>0.74734119954651379</v>
      </c>
      <c r="DF108" s="14">
        <f t="shared" si="219"/>
        <v>0.74734119954651379</v>
      </c>
      <c r="DG108" s="14">
        <f t="shared" si="220"/>
        <v>0.74734119954651379</v>
      </c>
      <c r="DH108" s="14">
        <f t="shared" si="221"/>
        <v>0.74734119954651379</v>
      </c>
      <c r="DI108" s="14">
        <f t="shared" si="222"/>
        <v>0.74734119954651379</v>
      </c>
      <c r="DJ108" s="14">
        <f t="shared" si="223"/>
        <v>0.74734119954651379</v>
      </c>
      <c r="DK108" s="14">
        <f t="shared" si="224"/>
        <v>0.74734119954651379</v>
      </c>
      <c r="DL108" s="14">
        <f t="shared" si="225"/>
        <v>0.74734119954651379</v>
      </c>
      <c r="DM108" s="14">
        <f t="shared" si="226"/>
        <v>0.74734119954651379</v>
      </c>
      <c r="DN108" s="12"/>
      <c r="DO108" s="12"/>
      <c r="DP108" s="12"/>
      <c r="DQ108" s="12"/>
      <c r="DR108" s="12"/>
      <c r="DS108" s="24"/>
      <c r="DT108" s="24"/>
      <c r="DU108" s="24"/>
      <c r="DV108" s="24"/>
      <c r="DW108" s="24"/>
      <c r="DX108" s="24"/>
      <c r="DY108" s="24"/>
      <c r="DZ108" s="24"/>
      <c r="EA108" s="24"/>
      <c r="EB108" s="32"/>
      <c r="ED108" s="47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4">
        <f t="shared" si="320"/>
        <v>6.0635624273213888E-2</v>
      </c>
      <c r="EU108" s="14">
        <f t="shared" si="321"/>
        <v>0.59394368447830115</v>
      </c>
      <c r="EV108" s="14">
        <f t="shared" si="322"/>
        <v>1.0119241547233977</v>
      </c>
      <c r="EW108" s="14">
        <f t="shared" si="323"/>
        <v>1.3215301478220765</v>
      </c>
      <c r="EX108" s="14">
        <f t="shared" si="324"/>
        <v>1.5301952310952389</v>
      </c>
      <c r="EY108" s="14">
        <f t="shared" si="325"/>
        <v>1.6454186406438063</v>
      </c>
      <c r="EZ108" s="14">
        <f t="shared" si="326"/>
        <v>1.6744539726969971</v>
      </c>
      <c r="FA108" s="14">
        <f t="shared" si="327"/>
        <v>1.624069561158433</v>
      </c>
      <c r="FB108" s="14">
        <f t="shared" si="328"/>
        <v>1.5003555220598217</v>
      </c>
      <c r="FC108" s="14">
        <f t="shared" si="329"/>
        <v>1.308557494223809</v>
      </c>
      <c r="FD108" s="14">
        <f t="shared" si="330"/>
        <v>1.0529208090372353</v>
      </c>
      <c r="FE108" s="12"/>
      <c r="FF108" s="12"/>
      <c r="FG108" s="12"/>
      <c r="FH108" s="12"/>
      <c r="FI108" s="12"/>
      <c r="FJ108" s="24"/>
      <c r="FK108" s="24"/>
      <c r="FL108" s="24"/>
      <c r="FM108" s="24"/>
      <c r="FN108" s="24"/>
      <c r="FO108" s="24"/>
      <c r="FP108" s="24"/>
      <c r="FQ108" s="24"/>
      <c r="FR108" s="24"/>
      <c r="FS108" s="32"/>
    </row>
    <row r="109" spans="5:175" ht="15" customHeight="1" x14ac:dyDescent="0.25">
      <c r="E109" s="46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4">
        <f t="shared" si="331"/>
        <v>7.6331235783869316</v>
      </c>
      <c r="V109" s="14">
        <f t="shared" si="332"/>
        <v>9.4250011032897714</v>
      </c>
      <c r="W109" s="14">
        <f t="shared" si="333"/>
        <v>10.58939382792609</v>
      </c>
      <c r="X109" s="14">
        <f t="shared" si="334"/>
        <v>11.195744931882841</v>
      </c>
      <c r="Y109" s="14">
        <f t="shared" si="335"/>
        <v>11.307541392370959</v>
      </c>
      <c r="Z109" s="14">
        <f t="shared" si="336"/>
        <v>10.981223179531888</v>
      </c>
      <c r="AA109" s="14">
        <f t="shared" si="337"/>
        <v>10.266862554867142</v>
      </c>
      <c r="AB109" s="14">
        <f t="shared" si="338"/>
        <v>9.2087824053869038</v>
      </c>
      <c r="AC109" s="14">
        <f t="shared" si="339"/>
        <v>7.8461044842623648</v>
      </c>
      <c r="AD109" s="14">
        <f t="shared" si="340"/>
        <v>6.2132225213541004</v>
      </c>
      <c r="AE109" s="14">
        <f t="shared" si="341"/>
        <v>4.3401979577741905</v>
      </c>
      <c r="AF109" s="12"/>
      <c r="AG109" s="12"/>
      <c r="AH109" s="12"/>
      <c r="AI109" s="12"/>
      <c r="AJ109" s="12"/>
      <c r="AK109" s="24"/>
      <c r="AL109" s="24"/>
      <c r="AM109" s="24"/>
      <c r="AN109" s="24"/>
      <c r="AO109" s="24"/>
      <c r="AP109" s="24"/>
      <c r="AQ109" s="24"/>
      <c r="AR109" s="24"/>
      <c r="AS109" s="24"/>
      <c r="AT109" s="32"/>
      <c r="AV109" s="47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26">
        <f t="shared" si="342"/>
        <v>-107382.18506552794</v>
      </c>
      <c r="BM109" s="26">
        <f t="shared" si="343"/>
        <v>-882468.67034813913</v>
      </c>
      <c r="BN109" s="26">
        <f t="shared" si="344"/>
        <v>-1456435.3153526273</v>
      </c>
      <c r="BO109" s="26">
        <f t="shared" si="345"/>
        <v>-1844154.3328491426</v>
      </c>
      <c r="BP109" s="26">
        <f t="shared" si="346"/>
        <v>-2060958.8211259532</v>
      </c>
      <c r="BQ109" s="26">
        <f t="shared" si="347"/>
        <v>-2122090.0799509613</v>
      </c>
      <c r="BR109" s="26">
        <f t="shared" si="348"/>
        <v>-2042343.8269097395</v>
      </c>
      <c r="BS109" s="26">
        <f t="shared" si="349"/>
        <v>-1835865.1621286958</v>
      </c>
      <c r="BT109" s="26">
        <f t="shared" si="350"/>
        <v>-1516056.625196164</v>
      </c>
      <c r="BU109" s="26">
        <f t="shared" si="351"/>
        <v>-1095575.4056962305</v>
      </c>
      <c r="BV109" s="26">
        <f t="shared" si="352"/>
        <v>-586405.58911274106</v>
      </c>
      <c r="BW109" s="12"/>
      <c r="BX109" s="12"/>
      <c r="BY109" s="12"/>
      <c r="BZ109" s="12"/>
      <c r="CA109" s="12"/>
      <c r="CB109" s="24"/>
      <c r="CC109" s="24"/>
      <c r="CD109" s="24"/>
      <c r="CE109" s="24"/>
      <c r="CF109" s="24"/>
      <c r="CG109" s="24"/>
      <c r="CH109" s="24"/>
      <c r="CI109" s="24"/>
      <c r="CJ109" s="24"/>
      <c r="CK109" s="32"/>
      <c r="CM109" s="47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4">
        <f t="shared" si="216"/>
        <v>0.74735095471729474</v>
      </c>
      <c r="DD109" s="14">
        <f t="shared" si="217"/>
        <v>0.74735095471729474</v>
      </c>
      <c r="DE109" s="14">
        <f t="shared" si="218"/>
        <v>0.74735095471729474</v>
      </c>
      <c r="DF109" s="14">
        <f t="shared" si="219"/>
        <v>0.74735095471729474</v>
      </c>
      <c r="DG109" s="14">
        <f t="shared" si="220"/>
        <v>0.74735095471729474</v>
      </c>
      <c r="DH109" s="14">
        <f t="shared" si="221"/>
        <v>0.74735095471729474</v>
      </c>
      <c r="DI109" s="14">
        <f t="shared" si="222"/>
        <v>0.74735095471729474</v>
      </c>
      <c r="DJ109" s="14">
        <f t="shared" si="223"/>
        <v>0.74735095471729474</v>
      </c>
      <c r="DK109" s="14">
        <f t="shared" si="224"/>
        <v>0.74735095471729474</v>
      </c>
      <c r="DL109" s="14">
        <f t="shared" si="225"/>
        <v>0.74735095471729474</v>
      </c>
      <c r="DM109" s="14">
        <f t="shared" si="226"/>
        <v>0.74735095471729474</v>
      </c>
      <c r="DN109" s="12"/>
      <c r="DO109" s="12"/>
      <c r="DP109" s="12"/>
      <c r="DQ109" s="12"/>
      <c r="DR109" s="12"/>
      <c r="DS109" s="24"/>
      <c r="DT109" s="24"/>
      <c r="DU109" s="24"/>
      <c r="DV109" s="24"/>
      <c r="DW109" s="24"/>
      <c r="DX109" s="24"/>
      <c r="DY109" s="24"/>
      <c r="DZ109" s="24"/>
      <c r="EA109" s="24"/>
      <c r="EB109" s="32"/>
      <c r="ED109" s="47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4">
        <f t="shared" si="320"/>
        <v>4.560645601470522E-2</v>
      </c>
      <c r="EU109" s="14">
        <f t="shared" si="321"/>
        <v>0.52976651067436908</v>
      </c>
      <c r="EV109" s="14">
        <f t="shared" si="322"/>
        <v>0.92383547328362381</v>
      </c>
      <c r="EW109" s="14">
        <f t="shared" si="323"/>
        <v>1.2305249125211695</v>
      </c>
      <c r="EX109" s="14">
        <f t="shared" si="324"/>
        <v>1.4535167807773541</v>
      </c>
      <c r="EY109" s="14">
        <f t="shared" si="325"/>
        <v>1.596957215320308</v>
      </c>
      <c r="EZ109" s="14">
        <f t="shared" si="326"/>
        <v>1.6650476003682473</v>
      </c>
      <c r="FA109" s="14">
        <f t="shared" si="327"/>
        <v>1.6617016288141016</v>
      </c>
      <c r="FB109" s="14">
        <f t="shared" si="328"/>
        <v>1.5902423672724419</v>
      </c>
      <c r="FC109" s="14">
        <f t="shared" si="329"/>
        <v>1.4531170913703912</v>
      </c>
      <c r="FD109" s="14">
        <f t="shared" si="330"/>
        <v>1.2516101731843148</v>
      </c>
      <c r="FE109" s="12"/>
      <c r="FF109" s="12"/>
      <c r="FG109" s="12"/>
      <c r="FH109" s="12"/>
      <c r="FI109" s="12"/>
      <c r="FJ109" s="24"/>
      <c r="FK109" s="24"/>
      <c r="FL109" s="24"/>
      <c r="FM109" s="24"/>
      <c r="FN109" s="24"/>
      <c r="FO109" s="24"/>
      <c r="FP109" s="24"/>
      <c r="FQ109" s="24"/>
      <c r="FR109" s="24"/>
      <c r="FS109" s="32"/>
    </row>
    <row r="110" spans="5:175" ht="15" customHeight="1" x14ac:dyDescent="0.25">
      <c r="E110" s="46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4">
        <f t="shared" si="331"/>
        <v>5.7390676759387436</v>
      </c>
      <c r="V110" s="14">
        <f t="shared" si="332"/>
        <v>7.533287699928473</v>
      </c>
      <c r="W110" s="14">
        <f t="shared" si="333"/>
        <v>8.7880279746026062</v>
      </c>
      <c r="X110" s="14">
        <f t="shared" si="334"/>
        <v>9.5551168240652284</v>
      </c>
      <c r="Y110" s="14">
        <f t="shared" si="335"/>
        <v>9.8831148778047115</v>
      </c>
      <c r="Z110" s="14">
        <f t="shared" si="336"/>
        <v>9.8159599971761899</v>
      </c>
      <c r="AA110" s="14">
        <f t="shared" si="337"/>
        <v>9.3930157842275079</v>
      </c>
      <c r="AB110" s="14">
        <f t="shared" si="338"/>
        <v>8.6491258371187669</v>
      </c>
      <c r="AC110" s="14">
        <f t="shared" si="339"/>
        <v>7.6146410143117729</v>
      </c>
      <c r="AD110" s="14">
        <f t="shared" si="340"/>
        <v>6.3153921490045057</v>
      </c>
      <c r="AE110" s="14">
        <f t="shared" si="341"/>
        <v>4.7725836633521821</v>
      </c>
      <c r="AF110" s="12"/>
      <c r="AG110" s="12"/>
      <c r="AH110" s="12"/>
      <c r="AI110" s="12"/>
      <c r="AJ110" s="12"/>
      <c r="AK110" s="24"/>
      <c r="AL110" s="24"/>
      <c r="AM110" s="24"/>
      <c r="AN110" s="24"/>
      <c r="AO110" s="24"/>
      <c r="AP110" s="24"/>
      <c r="AQ110" s="24"/>
      <c r="AR110" s="24"/>
      <c r="AS110" s="24"/>
      <c r="AT110" s="32"/>
      <c r="AV110" s="47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26">
        <f t="shared" si="342"/>
        <v>-80736.754875318991</v>
      </c>
      <c r="BM110" s="26">
        <f t="shared" si="343"/>
        <v>-744990.20982751646</v>
      </c>
      <c r="BN110" s="26">
        <f t="shared" si="344"/>
        <v>-1251877.732821014</v>
      </c>
      <c r="BO110" s="26">
        <f t="shared" si="345"/>
        <v>-1607890.5272058533</v>
      </c>
      <c r="BP110" s="26">
        <f t="shared" si="346"/>
        <v>-1820937.4310027887</v>
      </c>
      <c r="BQ110" s="26">
        <f t="shared" si="347"/>
        <v>-1899595.897948001</v>
      </c>
      <c r="BR110" s="26">
        <f t="shared" si="348"/>
        <v>-1852555.7180364449</v>
      </c>
      <c r="BS110" s="26">
        <f t="shared" si="349"/>
        <v>-1688206.5326656247</v>
      </c>
      <c r="BT110" s="26">
        <f t="shared" si="350"/>
        <v>-1414332.3149552164</v>
      </c>
      <c r="BU110" s="26">
        <f t="shared" si="351"/>
        <v>-1037885.9154829759</v>
      </c>
      <c r="BV110" s="26">
        <f t="shared" si="352"/>
        <v>-564825.21385545842</v>
      </c>
      <c r="BW110" s="12"/>
      <c r="BX110" s="12"/>
      <c r="BY110" s="12"/>
      <c r="BZ110" s="12"/>
      <c r="CA110" s="12"/>
      <c r="CB110" s="24"/>
      <c r="CC110" s="24"/>
      <c r="CD110" s="24"/>
      <c r="CE110" s="24"/>
      <c r="CF110" s="24"/>
      <c r="CG110" s="24"/>
      <c r="CH110" s="24"/>
      <c r="CI110" s="24"/>
      <c r="CJ110" s="24"/>
      <c r="CK110" s="32"/>
      <c r="CM110" s="47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4">
        <f t="shared" si="216"/>
        <v>0.74736842063294462</v>
      </c>
      <c r="DD110" s="14">
        <f t="shared" si="217"/>
        <v>0.74736842063294462</v>
      </c>
      <c r="DE110" s="14">
        <f t="shared" si="218"/>
        <v>0.74736842063294462</v>
      </c>
      <c r="DF110" s="14">
        <f t="shared" si="219"/>
        <v>0.74736842063294462</v>
      </c>
      <c r="DG110" s="14">
        <f t="shared" si="220"/>
        <v>0.74736842063294462</v>
      </c>
      <c r="DH110" s="14">
        <f t="shared" si="221"/>
        <v>0.74736842063294462</v>
      </c>
      <c r="DI110" s="14">
        <f t="shared" si="222"/>
        <v>0.74736842063294462</v>
      </c>
      <c r="DJ110" s="14">
        <f t="shared" si="223"/>
        <v>0.74736842063294462</v>
      </c>
      <c r="DK110" s="14">
        <f t="shared" si="224"/>
        <v>0.74736842063294462</v>
      </c>
      <c r="DL110" s="14">
        <f t="shared" si="225"/>
        <v>0.74736842063294462</v>
      </c>
      <c r="DM110" s="14">
        <f t="shared" si="226"/>
        <v>0.74736842063294462</v>
      </c>
      <c r="DN110" s="12"/>
      <c r="DO110" s="12"/>
      <c r="DP110" s="12"/>
      <c r="DQ110" s="12"/>
      <c r="DR110" s="12"/>
      <c r="DS110" s="24"/>
      <c r="DT110" s="24"/>
      <c r="DU110" s="24"/>
      <c r="DV110" s="24"/>
      <c r="DW110" s="24"/>
      <c r="DX110" s="24"/>
      <c r="DY110" s="24"/>
      <c r="DZ110" s="24"/>
      <c r="EA110" s="24"/>
      <c r="EB110" s="32"/>
      <c r="ED110" s="47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4">
        <f t="shared" si="320"/>
        <v>3.4312162663611978E-2</v>
      </c>
      <c r="EU110" s="14">
        <f t="shared" si="321"/>
        <v>0.48933951089903599</v>
      </c>
      <c r="EV110" s="14">
        <f t="shared" si="322"/>
        <v>0.87384943396523218</v>
      </c>
      <c r="EW110" s="14">
        <f t="shared" si="323"/>
        <v>1.1877706165146555</v>
      </c>
      <c r="EX110" s="14">
        <f t="shared" si="324"/>
        <v>1.4322155261467808</v>
      </c>
      <c r="EY110" s="14">
        <f t="shared" si="325"/>
        <v>1.6089405728715604</v>
      </c>
      <c r="EZ110" s="14">
        <f t="shared" si="326"/>
        <v>1.7198869317409329</v>
      </c>
      <c r="FA110" s="14">
        <f t="shared" si="327"/>
        <v>1.7667726748523069</v>
      </c>
      <c r="FB110" s="14">
        <f t="shared" si="328"/>
        <v>1.7507102977875448</v>
      </c>
      <c r="FC110" s="14">
        <f t="shared" si="329"/>
        <v>1.6718258461790496</v>
      </c>
      <c r="FD110" s="14">
        <f t="shared" si="330"/>
        <v>1.528856770416154</v>
      </c>
      <c r="FE110" s="12"/>
      <c r="FF110" s="12"/>
      <c r="FG110" s="12"/>
      <c r="FH110" s="12"/>
      <c r="FI110" s="12"/>
      <c r="FJ110" s="24"/>
      <c r="FK110" s="24"/>
      <c r="FL110" s="24"/>
      <c r="FM110" s="24"/>
      <c r="FN110" s="24"/>
      <c r="FO110" s="24"/>
      <c r="FP110" s="24"/>
      <c r="FQ110" s="24"/>
      <c r="FR110" s="24"/>
      <c r="FS110" s="32"/>
    </row>
    <row r="111" spans="5:175" ht="15" customHeight="1" x14ac:dyDescent="0.25">
      <c r="E111" s="46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4">
        <f t="shared" si="331"/>
        <v>4.3152042775690536</v>
      </c>
      <c r="V111" s="14">
        <f t="shared" si="332"/>
        <v>6.0998060010651631</v>
      </c>
      <c r="W111" s="14">
        <f t="shared" si="333"/>
        <v>7.4259921795420594</v>
      </c>
      <c r="X111" s="14">
        <f t="shared" si="334"/>
        <v>8.3307891372711538</v>
      </c>
      <c r="Y111" s="14">
        <f t="shared" si="335"/>
        <v>8.8500122140675437</v>
      </c>
      <c r="Z111" s="14">
        <f t="shared" si="336"/>
        <v>9.0167169850399542</v>
      </c>
      <c r="AA111" s="14">
        <f t="shared" si="337"/>
        <v>8.8607595017925895</v>
      </c>
      <c r="AB111" s="14">
        <f t="shared" si="338"/>
        <v>8.4083937122132397</v>
      </c>
      <c r="AC111" s="14">
        <f t="shared" si="339"/>
        <v>7.6818560772417106</v>
      </c>
      <c r="AD111" s="14">
        <f t="shared" si="340"/>
        <v>6.698891641413157</v>
      </c>
      <c r="AE111" s="14">
        <f t="shared" si="341"/>
        <v>5.4721771967443393</v>
      </c>
      <c r="AF111" s="12"/>
      <c r="AG111" s="12"/>
      <c r="AH111" s="12"/>
      <c r="AI111" s="12"/>
      <c r="AJ111" s="12"/>
      <c r="AK111" s="24"/>
      <c r="AL111" s="24"/>
      <c r="AM111" s="24"/>
      <c r="AN111" s="24"/>
      <c r="AO111" s="24"/>
      <c r="AP111" s="24"/>
      <c r="AQ111" s="24"/>
      <c r="AR111" s="24"/>
      <c r="AS111" s="24"/>
      <c r="AT111" s="32"/>
      <c r="AV111" s="47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26">
        <f t="shared" si="342"/>
        <v>-60705.956031095833</v>
      </c>
      <c r="BM111" s="26">
        <f t="shared" si="343"/>
        <v>-644731.74788273219</v>
      </c>
      <c r="BN111" s="26">
        <f t="shared" si="344"/>
        <v>-1104881.706034808</v>
      </c>
      <c r="BO111" s="26">
        <f t="shared" si="345"/>
        <v>-1441558.2897450286</v>
      </c>
      <c r="BP111" s="26">
        <f t="shared" si="346"/>
        <v>-1656978.4555786287</v>
      </c>
      <c r="BQ111" s="26">
        <f t="shared" si="347"/>
        <v>-1754312.309865142</v>
      </c>
      <c r="BR111" s="26">
        <f t="shared" si="348"/>
        <v>-1736984.1516726292</v>
      </c>
      <c r="BS111" s="26">
        <f t="shared" si="349"/>
        <v>-1608089.0973794661</v>
      </c>
      <c r="BT111" s="26">
        <f t="shared" si="350"/>
        <v>-1369887.2610805479</v>
      </c>
      <c r="BU111" s="26">
        <f t="shared" si="351"/>
        <v>-1023344.466104139</v>
      </c>
      <c r="BV111" s="26">
        <f t="shared" si="352"/>
        <v>-567694.15557664982</v>
      </c>
      <c r="BW111" s="12"/>
      <c r="BX111" s="12"/>
      <c r="BY111" s="12"/>
      <c r="BZ111" s="12"/>
      <c r="CA111" s="12"/>
      <c r="CB111" s="24"/>
      <c r="CC111" s="24"/>
      <c r="CD111" s="24"/>
      <c r="CE111" s="24"/>
      <c r="CF111" s="24"/>
      <c r="CG111" s="24"/>
      <c r="CH111" s="24"/>
      <c r="CI111" s="24"/>
      <c r="CJ111" s="24"/>
      <c r="CK111" s="32"/>
      <c r="CM111" s="47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4">
        <f t="shared" si="216"/>
        <v>0.74739969093105907</v>
      </c>
      <c r="DD111" s="14">
        <f t="shared" si="217"/>
        <v>0.74739969093105907</v>
      </c>
      <c r="DE111" s="14">
        <f t="shared" si="218"/>
        <v>0.74739969093105907</v>
      </c>
      <c r="DF111" s="14">
        <f t="shared" si="219"/>
        <v>0.74739969093105907</v>
      </c>
      <c r="DG111" s="14">
        <f t="shared" si="220"/>
        <v>0.74739969093105907</v>
      </c>
      <c r="DH111" s="14">
        <f t="shared" si="221"/>
        <v>0.74739969093105907</v>
      </c>
      <c r="DI111" s="14">
        <f t="shared" si="222"/>
        <v>0.74739969093105907</v>
      </c>
      <c r="DJ111" s="14">
        <f t="shared" si="223"/>
        <v>0.74739969093105907</v>
      </c>
      <c r="DK111" s="14">
        <f t="shared" si="224"/>
        <v>0.74739969093105907</v>
      </c>
      <c r="DL111" s="14">
        <f t="shared" si="225"/>
        <v>0.74739969093105907</v>
      </c>
      <c r="DM111" s="14">
        <f t="shared" si="226"/>
        <v>0.74739969093105907</v>
      </c>
      <c r="DN111" s="12"/>
      <c r="DO111" s="12"/>
      <c r="DP111" s="12"/>
      <c r="DQ111" s="12"/>
      <c r="DR111" s="12"/>
      <c r="DS111" s="24"/>
      <c r="DT111" s="24"/>
      <c r="DU111" s="24"/>
      <c r="DV111" s="24"/>
      <c r="DW111" s="24"/>
      <c r="DX111" s="24"/>
      <c r="DY111" s="24"/>
      <c r="DZ111" s="24"/>
      <c r="EA111" s="24"/>
      <c r="EB111" s="32"/>
      <c r="ED111" s="47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4">
        <f t="shared" si="320"/>
        <v>2.5826870340005088E-2</v>
      </c>
      <c r="EU111" s="14">
        <f t="shared" si="321"/>
        <v>0.46942910244387398</v>
      </c>
      <c r="EV111" s="14">
        <f t="shared" si="322"/>
        <v>0.85782278743057039</v>
      </c>
      <c r="EW111" s="14">
        <f t="shared" si="323"/>
        <v>1.1892977761546393</v>
      </c>
      <c r="EX111" s="14">
        <f t="shared" si="324"/>
        <v>1.4633752089601515</v>
      </c>
      <c r="EY111" s="14">
        <f t="shared" si="325"/>
        <v>1.6802715169588309</v>
      </c>
      <c r="EZ111" s="14">
        <f t="shared" si="326"/>
        <v>1.8404224077503912</v>
      </c>
      <c r="FA111" s="14">
        <f t="shared" si="327"/>
        <v>1.9440397347268361</v>
      </c>
      <c r="FB111" s="14">
        <f t="shared" si="328"/>
        <v>1.9906757365941254</v>
      </c>
      <c r="FC111" s="14">
        <f t="shared" si="329"/>
        <v>1.9787695011387521</v>
      </c>
      <c r="FD111" s="14">
        <f t="shared" si="330"/>
        <v>1.9051496418122971</v>
      </c>
      <c r="FE111" s="12"/>
      <c r="FF111" s="12"/>
      <c r="FG111" s="12"/>
      <c r="FH111" s="12"/>
      <c r="FI111" s="12"/>
      <c r="FJ111" s="24"/>
      <c r="FK111" s="24"/>
      <c r="FL111" s="24"/>
      <c r="FM111" s="24"/>
      <c r="FN111" s="24"/>
      <c r="FO111" s="24"/>
      <c r="FP111" s="24"/>
      <c r="FQ111" s="24"/>
      <c r="FR111" s="24"/>
      <c r="FS111" s="32"/>
    </row>
    <row r="112" spans="5:175" ht="15" customHeight="1" x14ac:dyDescent="0.25">
      <c r="E112" s="46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4">
        <f t="shared" si="331"/>
        <v>3.2448785650132104</v>
      </c>
      <c r="V112" s="14">
        <f t="shared" si="332"/>
        <v>5.0270366477250032</v>
      </c>
      <c r="W112" s="14">
        <f t="shared" si="333"/>
        <v>6.4234968143978115</v>
      </c>
      <c r="X112" s="14">
        <f t="shared" si="334"/>
        <v>7.4595463548991248</v>
      </c>
      <c r="Y112" s="14">
        <f t="shared" si="335"/>
        <v>8.1607634654986452</v>
      </c>
      <c r="Z112" s="14">
        <f t="shared" si="336"/>
        <v>8.551356718460255</v>
      </c>
      <c r="AA112" s="14">
        <f t="shared" si="337"/>
        <v>8.6533733378733366</v>
      </c>
      <c r="AB112" s="14">
        <f t="shared" si="338"/>
        <v>8.485950510508907</v>
      </c>
      <c r="AC112" s="14">
        <f t="shared" si="339"/>
        <v>8.0645476956357776</v>
      </c>
      <c r="AD112" s="14">
        <f t="shared" si="340"/>
        <v>7.4000998157596092</v>
      </c>
      <c r="AE112" s="14">
        <f t="shared" si="341"/>
        <v>6.4980296697706486</v>
      </c>
      <c r="AF112" s="12"/>
      <c r="AG112" s="12"/>
      <c r="AH112" s="12"/>
      <c r="AI112" s="12"/>
      <c r="AJ112" s="12"/>
      <c r="AK112" s="24"/>
      <c r="AL112" s="24"/>
      <c r="AM112" s="24"/>
      <c r="AN112" s="24"/>
      <c r="AO112" s="24"/>
      <c r="AP112" s="24"/>
      <c r="AQ112" s="24"/>
      <c r="AR112" s="24"/>
      <c r="AS112" s="24"/>
      <c r="AT112" s="32"/>
      <c r="AV112" s="47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26">
        <f t="shared" si="342"/>
        <v>-45648.697679940851</v>
      </c>
      <c r="BM112" s="26">
        <f t="shared" si="343"/>
        <v>-575672.96179317473</v>
      </c>
      <c r="BN112" s="26">
        <f t="shared" si="344"/>
        <v>-1007394.3645637734</v>
      </c>
      <c r="BO112" s="26">
        <f t="shared" si="345"/>
        <v>-1336725.1019001431</v>
      </c>
      <c r="BP112" s="26">
        <f t="shared" si="346"/>
        <v>-1561403.9499398139</v>
      </c>
      <c r="BQ112" s="26">
        <f t="shared" si="347"/>
        <v>-1680052.6897226502</v>
      </c>
      <c r="BR112" s="26">
        <f t="shared" si="348"/>
        <v>-1691348.1466142859</v>
      </c>
      <c r="BS112" s="26">
        <f t="shared" si="349"/>
        <v>-1593262.3408943925</v>
      </c>
      <c r="BT112" s="26">
        <f t="shared" si="350"/>
        <v>-1382327.8019696069</v>
      </c>
      <c r="BU112" s="26">
        <f t="shared" si="351"/>
        <v>-1052887.8057911566</v>
      </c>
      <c r="BV112" s="26">
        <f t="shared" si="352"/>
        <v>-596292.32824553526</v>
      </c>
      <c r="BW112" s="12"/>
      <c r="BX112" s="12"/>
      <c r="BY112" s="12"/>
      <c r="BZ112" s="12"/>
      <c r="CA112" s="12"/>
      <c r="CB112" s="24"/>
      <c r="CC112" s="24"/>
      <c r="CD112" s="24"/>
      <c r="CE112" s="24"/>
      <c r="CF112" s="24"/>
      <c r="CG112" s="24"/>
      <c r="CH112" s="24"/>
      <c r="CI112" s="24"/>
      <c r="CJ112" s="24"/>
      <c r="CK112" s="32"/>
      <c r="CM112" s="47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4">
        <f t="shared" si="216"/>
        <v>0.74745567240959288</v>
      </c>
      <c r="DD112" s="14">
        <f t="shared" si="217"/>
        <v>0.74745567240959288</v>
      </c>
      <c r="DE112" s="14">
        <f t="shared" si="218"/>
        <v>0.74745567240959288</v>
      </c>
      <c r="DF112" s="14">
        <f t="shared" si="219"/>
        <v>0.74745567240959288</v>
      </c>
      <c r="DG112" s="14">
        <f t="shared" si="220"/>
        <v>0.74745567240959288</v>
      </c>
      <c r="DH112" s="14">
        <f t="shared" si="221"/>
        <v>0.74745567240959288</v>
      </c>
      <c r="DI112" s="14">
        <f t="shared" si="222"/>
        <v>0.74745567240959288</v>
      </c>
      <c r="DJ112" s="14">
        <f t="shared" si="223"/>
        <v>0.74745567240959288</v>
      </c>
      <c r="DK112" s="14">
        <f t="shared" si="224"/>
        <v>0.74745567240959288</v>
      </c>
      <c r="DL112" s="14">
        <f t="shared" si="225"/>
        <v>0.74745567240959288</v>
      </c>
      <c r="DM112" s="14">
        <f t="shared" si="226"/>
        <v>0.74745567240959288</v>
      </c>
      <c r="DN112" s="12"/>
      <c r="DO112" s="12"/>
      <c r="DP112" s="12"/>
      <c r="DQ112" s="12"/>
      <c r="DR112" s="12"/>
      <c r="DS112" s="24"/>
      <c r="DT112" s="24"/>
      <c r="DU112" s="24"/>
      <c r="DV112" s="24"/>
      <c r="DW112" s="24"/>
      <c r="DX112" s="24"/>
      <c r="DY112" s="24"/>
      <c r="DZ112" s="24"/>
      <c r="EA112" s="24"/>
      <c r="EB112" s="32"/>
      <c r="ED112" s="47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4">
        <f t="shared" si="320"/>
        <v>1.9454650138081998E-2</v>
      </c>
      <c r="EU112" s="14">
        <f t="shared" si="321"/>
        <v>0.467702051630772</v>
      </c>
      <c r="EV112" s="14">
        <f t="shared" si="322"/>
        <v>0.87289683652982264</v>
      </c>
      <c r="EW112" s="14">
        <f t="shared" si="323"/>
        <v>1.2326507585975826</v>
      </c>
      <c r="EX112" s="14">
        <f t="shared" si="324"/>
        <v>1.5457716351996797</v>
      </c>
      <c r="EY112" s="14">
        <f t="shared" si="325"/>
        <v>1.8117604614802185</v>
      </c>
      <c r="EZ112" s="14">
        <f t="shared" si="326"/>
        <v>2.0303483864012679</v>
      </c>
      <c r="FA112" s="14">
        <f t="shared" si="327"/>
        <v>2.2010489344619666</v>
      </c>
      <c r="FB112" s="14">
        <f t="shared" si="328"/>
        <v>2.3227007960673562</v>
      </c>
      <c r="FC112" s="14">
        <f t="shared" si="329"/>
        <v>2.3929752595281366</v>
      </c>
      <c r="FD112" s="14">
        <f t="shared" si="330"/>
        <v>2.4078197836336668</v>
      </c>
      <c r="FE112" s="12"/>
      <c r="FF112" s="12"/>
      <c r="FG112" s="12"/>
      <c r="FH112" s="12"/>
      <c r="FI112" s="12"/>
      <c r="FJ112" s="24"/>
      <c r="FK112" s="24"/>
      <c r="FL112" s="24"/>
      <c r="FM112" s="24"/>
      <c r="FN112" s="24"/>
      <c r="FO112" s="24"/>
      <c r="FP112" s="24"/>
      <c r="FQ112" s="24"/>
      <c r="FR112" s="24"/>
      <c r="FS112" s="32"/>
    </row>
    <row r="113" spans="5:175" ht="15" customHeight="1" x14ac:dyDescent="0.25">
      <c r="E113" s="46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4">
        <f t="shared" si="331"/>
        <v>2.4404004890536095</v>
      </c>
      <c r="V113" s="14">
        <f t="shared" si="332"/>
        <v>4.2405140515411972</v>
      </c>
      <c r="W113" s="14">
        <f t="shared" si="333"/>
        <v>5.7191514272228954</v>
      </c>
      <c r="X113" s="14">
        <f t="shared" si="334"/>
        <v>6.8930379773279196</v>
      </c>
      <c r="Y113" s="14">
        <f t="shared" si="335"/>
        <v>7.7802623386664953</v>
      </c>
      <c r="Z113" s="14">
        <f t="shared" si="336"/>
        <v>8.3985970077340291</v>
      </c>
      <c r="AA113" s="14">
        <f t="shared" si="337"/>
        <v>8.7644929762123365</v>
      </c>
      <c r="AB113" s="14">
        <f t="shared" si="338"/>
        <v>8.8921099912484962</v>
      </c>
      <c r="AC113" s="14">
        <f t="shared" si="339"/>
        <v>8.7923137338471626</v>
      </c>
      <c r="AD113" s="14">
        <f t="shared" si="340"/>
        <v>8.4715702968068083</v>
      </c>
      <c r="AE113" s="14">
        <f t="shared" si="341"/>
        <v>7.9306634912912592</v>
      </c>
      <c r="AF113" s="12"/>
      <c r="AG113" s="12"/>
      <c r="AH113" s="12"/>
      <c r="AI113" s="12"/>
      <c r="AJ113" s="12"/>
      <c r="AK113" s="24"/>
      <c r="AL113" s="24"/>
      <c r="AM113" s="24"/>
      <c r="AN113" s="24"/>
      <c r="AO113" s="24"/>
      <c r="AP113" s="24"/>
      <c r="AQ113" s="24"/>
      <c r="AR113" s="24"/>
      <c r="AS113" s="24"/>
      <c r="AT113" s="32"/>
      <c r="AV113" s="47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26">
        <f t="shared" si="342"/>
        <v>-34331.363072853383</v>
      </c>
      <c r="BM113" s="26">
        <f t="shared" si="343"/>
        <v>-533424.00845912297</v>
      </c>
      <c r="BN113" s="26">
        <f t="shared" si="344"/>
        <v>-953679.26837276877</v>
      </c>
      <c r="BO113" s="26">
        <f t="shared" si="345"/>
        <v>-1287618.92562863</v>
      </c>
      <c r="BP113" s="26">
        <f t="shared" si="346"/>
        <v>-1529331.6745289699</v>
      </c>
      <c r="BQ113" s="26">
        <f t="shared" si="347"/>
        <v>-1673437.4528227604</v>
      </c>
      <c r="BR113" s="26">
        <f t="shared" si="348"/>
        <v>-1714106.4314655834</v>
      </c>
      <c r="BS113" s="26">
        <f t="shared" si="349"/>
        <v>-1644078.3515916499</v>
      </c>
      <c r="BT113" s="26">
        <f t="shared" si="350"/>
        <v>-1453626.882624266</v>
      </c>
      <c r="BU113" s="26">
        <f t="shared" si="351"/>
        <v>-1129409.9492688975</v>
      </c>
      <c r="BV113" s="26">
        <f t="shared" si="352"/>
        <v>-653140.24668715685</v>
      </c>
      <c r="BW113" s="12"/>
      <c r="BX113" s="12"/>
      <c r="BY113" s="12"/>
      <c r="BZ113" s="12"/>
      <c r="CA113" s="12"/>
      <c r="CB113" s="24"/>
      <c r="CC113" s="24"/>
      <c r="CD113" s="24"/>
      <c r="CE113" s="24"/>
      <c r="CF113" s="24"/>
      <c r="CG113" s="24"/>
      <c r="CH113" s="24"/>
      <c r="CI113" s="24"/>
      <c r="CJ113" s="24"/>
      <c r="CK113" s="32"/>
      <c r="CM113" s="47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4">
        <f t="shared" si="216"/>
        <v>0.7475558812435108</v>
      </c>
      <c r="DD113" s="14">
        <f t="shared" si="217"/>
        <v>0.7475558812435108</v>
      </c>
      <c r="DE113" s="14">
        <f t="shared" si="218"/>
        <v>0.7475558812435108</v>
      </c>
      <c r="DF113" s="14">
        <f t="shared" si="219"/>
        <v>0.7475558812435108</v>
      </c>
      <c r="DG113" s="14">
        <f t="shared" si="220"/>
        <v>0.7475558812435108</v>
      </c>
      <c r="DH113" s="14">
        <f t="shared" si="221"/>
        <v>0.7475558812435108</v>
      </c>
      <c r="DI113" s="14">
        <f t="shared" si="222"/>
        <v>0.7475558812435108</v>
      </c>
      <c r="DJ113" s="14">
        <f t="shared" si="223"/>
        <v>0.7475558812435108</v>
      </c>
      <c r="DK113" s="14">
        <f t="shared" si="224"/>
        <v>0.7475558812435108</v>
      </c>
      <c r="DL113" s="14">
        <f t="shared" si="225"/>
        <v>0.7475558812435108</v>
      </c>
      <c r="DM113" s="14">
        <f t="shared" si="226"/>
        <v>0.7475558812435108</v>
      </c>
      <c r="DN113" s="12"/>
      <c r="DO113" s="12"/>
      <c r="DP113" s="12"/>
      <c r="DQ113" s="12"/>
      <c r="DR113" s="12"/>
      <c r="DS113" s="24"/>
      <c r="DT113" s="24"/>
      <c r="DU113" s="24"/>
      <c r="DV113" s="24"/>
      <c r="DW113" s="24"/>
      <c r="DX113" s="24"/>
      <c r="DY113" s="24"/>
      <c r="DZ113" s="24"/>
      <c r="EA113" s="24"/>
      <c r="EB113" s="32"/>
      <c r="ED113" s="47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4">
        <f t="shared" si="320"/>
        <v>1.467243385698036E-2</v>
      </c>
      <c r="EU113" s="14">
        <f t="shared" si="321"/>
        <v>0.48252324030770843</v>
      </c>
      <c r="EV113" s="14">
        <f t="shared" si="322"/>
        <v>0.91722860547085572</v>
      </c>
      <c r="EW113" s="14">
        <f t="shared" si="323"/>
        <v>1.3166102283144856</v>
      </c>
      <c r="EX113" s="14">
        <f t="shared" si="324"/>
        <v>1.679635614595808</v>
      </c>
      <c r="EY113" s="14">
        <f t="shared" si="325"/>
        <v>2.0059800002378569</v>
      </c>
      <c r="EZ113" s="14">
        <f t="shared" si="326"/>
        <v>2.2956128448893334</v>
      </c>
      <c r="FA113" s="14">
        <f t="shared" si="327"/>
        <v>2.5483877791761906</v>
      </c>
      <c r="FB113" s="14">
        <f t="shared" si="328"/>
        <v>2.7636136744058351</v>
      </c>
      <c r="FC113" s="14">
        <f t="shared" si="329"/>
        <v>2.9395821577466923</v>
      </c>
      <c r="FD113" s="14">
        <f t="shared" si="330"/>
        <v>3.0730231951593829</v>
      </c>
      <c r="FE113" s="12"/>
      <c r="FF113" s="12"/>
      <c r="FG113" s="12"/>
      <c r="FH113" s="12"/>
      <c r="FI113" s="12"/>
      <c r="FJ113" s="24"/>
      <c r="FK113" s="24"/>
      <c r="FL113" s="24"/>
      <c r="FM113" s="24"/>
      <c r="FN113" s="24"/>
      <c r="FO113" s="24"/>
      <c r="FP113" s="24"/>
      <c r="FQ113" s="24"/>
      <c r="FR113" s="24"/>
      <c r="FS113" s="32"/>
    </row>
    <row r="114" spans="5:175" ht="15" customHeight="1" x14ac:dyDescent="0.25">
      <c r="E114" s="46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4">
        <f t="shared" si="331"/>
        <v>1.8358604660487197</v>
      </c>
      <c r="V114" s="14">
        <f t="shared" si="332"/>
        <v>3.6835569596163857</v>
      </c>
      <c r="W114" s="14">
        <f t="shared" si="333"/>
        <v>5.2661472626261192</v>
      </c>
      <c r="X114" s="14">
        <f t="shared" si="334"/>
        <v>6.5950838725291829</v>
      </c>
      <c r="Y114" s="14">
        <f t="shared" si="335"/>
        <v>7.6839816142761066</v>
      </c>
      <c r="Z114" s="14">
        <f t="shared" si="336"/>
        <v>8.5470334988917003</v>
      </c>
      <c r="AA114" s="14">
        <f t="shared" si="337"/>
        <v>9.197949864905878</v>
      </c>
      <c r="AB114" s="14">
        <f t="shared" si="338"/>
        <v>9.6489286912922942</v>
      </c>
      <c r="AC114" s="14">
        <f t="shared" si="339"/>
        <v>9.9095895978927597</v>
      </c>
      <c r="AD114" s="14">
        <f t="shared" si="340"/>
        <v>9.9858011564760218</v>
      </c>
      <c r="AE114" s="14">
        <f t="shared" si="341"/>
        <v>9.8783242305959718</v>
      </c>
      <c r="AF114" s="12"/>
      <c r="AG114" s="12"/>
      <c r="AH114" s="12"/>
      <c r="AI114" s="12"/>
      <c r="AJ114" s="12"/>
      <c r="AK114" s="24"/>
      <c r="AL114" s="24"/>
      <c r="AM114" s="24"/>
      <c r="AN114" s="24"/>
      <c r="AO114" s="24"/>
      <c r="AP114" s="24"/>
      <c r="AQ114" s="24"/>
      <c r="AR114" s="24"/>
      <c r="AS114" s="24"/>
      <c r="AT114" s="32"/>
      <c r="AV114" s="47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26">
        <f t="shared" si="342"/>
        <v>-25826.741345826646</v>
      </c>
      <c r="BM114" s="26">
        <f t="shared" si="343"/>
        <v>-514933.80430309678</v>
      </c>
      <c r="BN114" s="26">
        <f t="shared" si="344"/>
        <v>-939963.70758902584</v>
      </c>
      <c r="BO114" s="26">
        <f t="shared" si="345"/>
        <v>-1290796.3884525266</v>
      </c>
      <c r="BP114" s="26">
        <f t="shared" si="346"/>
        <v>-1558414.8738595678</v>
      </c>
      <c r="BQ114" s="26">
        <f t="shared" si="347"/>
        <v>-1733735.5529994001</v>
      </c>
      <c r="BR114" s="26">
        <f t="shared" si="348"/>
        <v>-1806415.7944555343</v>
      </c>
      <c r="BS114" s="26">
        <f t="shared" si="349"/>
        <v>-1763568.1684097219</v>
      </c>
      <c r="BT114" s="26">
        <f t="shared" si="350"/>
        <v>-1588301.6412166124</v>
      </c>
      <c r="BU114" s="26">
        <f t="shared" si="351"/>
        <v>-1257996.3936298648</v>
      </c>
      <c r="BV114" s="26">
        <f t="shared" si="352"/>
        <v>-742199.28801266733</v>
      </c>
      <c r="BW114" s="12"/>
      <c r="BX114" s="12"/>
      <c r="BY114" s="12"/>
      <c r="BZ114" s="12"/>
      <c r="CA114" s="12"/>
      <c r="CB114" s="24"/>
      <c r="CC114" s="24"/>
      <c r="CD114" s="24"/>
      <c r="CE114" s="24"/>
      <c r="CF114" s="24"/>
      <c r="CG114" s="24"/>
      <c r="CH114" s="24"/>
      <c r="CI114" s="24"/>
      <c r="CJ114" s="24"/>
      <c r="CK114" s="32"/>
      <c r="CM114" s="47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4">
        <f t="shared" si="216"/>
        <v>0.74773522113549262</v>
      </c>
      <c r="DD114" s="14">
        <f t="shared" si="217"/>
        <v>0.74773522113549262</v>
      </c>
      <c r="DE114" s="14">
        <f t="shared" si="218"/>
        <v>0.74773522113549262</v>
      </c>
      <c r="DF114" s="14">
        <f t="shared" si="219"/>
        <v>0.74773522113549262</v>
      </c>
      <c r="DG114" s="14">
        <f t="shared" si="220"/>
        <v>0.74773522113549262</v>
      </c>
      <c r="DH114" s="14">
        <f t="shared" si="221"/>
        <v>0.74773522113549262</v>
      </c>
      <c r="DI114" s="14">
        <f t="shared" si="222"/>
        <v>0.74773522113549262</v>
      </c>
      <c r="DJ114" s="14">
        <f t="shared" si="223"/>
        <v>0.74773522113549262</v>
      </c>
      <c r="DK114" s="14">
        <f t="shared" si="224"/>
        <v>0.74773522113549262</v>
      </c>
      <c r="DL114" s="14">
        <f t="shared" si="225"/>
        <v>0.74773522113549262</v>
      </c>
      <c r="DM114" s="14">
        <f t="shared" si="226"/>
        <v>0.74773522113549262</v>
      </c>
      <c r="DN114" s="12"/>
      <c r="DO114" s="12"/>
      <c r="DP114" s="12"/>
      <c r="DQ114" s="12"/>
      <c r="DR114" s="12"/>
      <c r="DS114" s="24"/>
      <c r="DT114" s="24"/>
      <c r="DU114" s="24"/>
      <c r="DV114" s="24"/>
      <c r="DW114" s="24"/>
      <c r="DX114" s="24"/>
      <c r="DY114" s="24"/>
      <c r="DZ114" s="24"/>
      <c r="EA114" s="24"/>
      <c r="EB114" s="32"/>
      <c r="ED114" s="47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4">
        <f t="shared" si="320"/>
        <v>1.108706670705463E-2</v>
      </c>
      <c r="EU114" s="14">
        <f t="shared" si="321"/>
        <v>0.5127752475590649</v>
      </c>
      <c r="EV114" s="14">
        <f t="shared" si="322"/>
        <v>0.9897363054842393</v>
      </c>
      <c r="EW114" s="14">
        <f t="shared" si="323"/>
        <v>1.4409165962565427</v>
      </c>
      <c r="EX114" s="14">
        <f t="shared" si="324"/>
        <v>1.8664054339811691</v>
      </c>
      <c r="EY114" s="14">
        <f t="shared" si="325"/>
        <v>2.2671067080858087</v>
      </c>
      <c r="EZ114" s="14">
        <f t="shared" si="326"/>
        <v>2.6444297711972746</v>
      </c>
      <c r="FA114" s="14">
        <f t="shared" si="327"/>
        <v>2.9999848606249753</v>
      </c>
      <c r="FB114" s="14">
        <f t="shared" si="328"/>
        <v>3.3352669438219222</v>
      </c>
      <c r="FC114" s="14">
        <f t="shared" si="329"/>
        <v>3.651309667228313</v>
      </c>
      <c r="FD114" s="14">
        <f t="shared" si="330"/>
        <v>3.9482878111841244</v>
      </c>
      <c r="FE114" s="12"/>
      <c r="FF114" s="12"/>
      <c r="FG114" s="12"/>
      <c r="FH114" s="12"/>
      <c r="FI114" s="12"/>
      <c r="FJ114" s="24"/>
      <c r="FK114" s="24"/>
      <c r="FL114" s="24"/>
      <c r="FM114" s="24"/>
      <c r="FN114" s="24"/>
      <c r="FO114" s="24"/>
      <c r="FP114" s="24"/>
      <c r="FQ114" s="24"/>
      <c r="FR114" s="24"/>
      <c r="FS114" s="32"/>
    </row>
    <row r="115" spans="5:175" ht="15" customHeight="1" x14ac:dyDescent="0.25">
      <c r="E115" s="46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4">
        <f t="shared" si="331"/>
        <v>1.3817295126718461</v>
      </c>
      <c r="V115" s="14">
        <f t="shared" si="332"/>
        <v>3.3131852723603217</v>
      </c>
      <c r="W115" s="14">
        <f t="shared" si="333"/>
        <v>5.0291969749800991</v>
      </c>
      <c r="X115" s="14">
        <f t="shared" si="334"/>
        <v>6.5394400451064287</v>
      </c>
      <c r="Y115" s="14">
        <f t="shared" si="335"/>
        <v>7.8564616093173427</v>
      </c>
      <c r="Z115" s="14">
        <f t="shared" si="336"/>
        <v>8.9943472764150396</v>
      </c>
      <c r="AA115" s="14">
        <f t="shared" si="337"/>
        <v>9.9678107705522674</v>
      </c>
      <c r="AB115" s="14">
        <f t="shared" si="338"/>
        <v>10.791336178090788</v>
      </c>
      <c r="AC115" s="14">
        <f t="shared" si="339"/>
        <v>11.478320590916397</v>
      </c>
      <c r="AD115" s="14">
        <f t="shared" si="340"/>
        <v>12.040163220007708</v>
      </c>
      <c r="AE115" s="14">
        <f t="shared" si="341"/>
        <v>12.485242387626705</v>
      </c>
      <c r="AF115" s="12"/>
      <c r="AG115" s="12"/>
      <c r="AH115" s="12"/>
      <c r="AI115" s="12"/>
      <c r="AJ115" s="12"/>
      <c r="AK115" s="24"/>
      <c r="AL115" s="24"/>
      <c r="AM115" s="24"/>
      <c r="AN115" s="24"/>
      <c r="AO115" s="24"/>
      <c r="AP115" s="24"/>
      <c r="AQ115" s="24"/>
      <c r="AR115" s="24"/>
      <c r="AS115" s="24"/>
      <c r="AT115" s="32"/>
      <c r="AV115" s="47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26">
        <f t="shared" si="342"/>
        <v>-19438.062637993451</v>
      </c>
      <c r="BM115" s="26">
        <f t="shared" si="343"/>
        <v>-518271.40923953289</v>
      </c>
      <c r="BN115" s="26">
        <f t="shared" si="344"/>
        <v>-964178.55033524311</v>
      </c>
      <c r="BO115" s="26">
        <f t="shared" si="345"/>
        <v>-1344908.6524916296</v>
      </c>
      <c r="BP115" s="26">
        <f t="shared" si="346"/>
        <v>-1648679.712496008</v>
      </c>
      <c r="BQ115" s="26">
        <f t="shared" si="347"/>
        <v>-1862803.9429959338</v>
      </c>
      <c r="BR115" s="26">
        <f t="shared" si="348"/>
        <v>-1972190.6435059509</v>
      </c>
      <c r="BS115" s="26">
        <f t="shared" si="349"/>
        <v>-1957625.3682664856</v>
      </c>
      <c r="BT115" s="26">
        <f t="shared" si="350"/>
        <v>-1793703.5483958113</v>
      </c>
      <c r="BU115" s="26">
        <f t="shared" si="351"/>
        <v>-1446267.1949144304</v>
      </c>
      <c r="BV115" s="26">
        <f t="shared" si="352"/>
        <v>-869152.42891938891</v>
      </c>
      <c r="BW115" s="12"/>
      <c r="BX115" s="12"/>
      <c r="BY115" s="12"/>
      <c r="BZ115" s="12"/>
      <c r="CA115" s="12"/>
      <c r="CB115" s="24"/>
      <c r="CC115" s="24"/>
      <c r="CD115" s="24"/>
      <c r="CE115" s="24"/>
      <c r="CF115" s="24"/>
      <c r="CG115" s="24"/>
      <c r="CH115" s="24"/>
      <c r="CI115" s="24"/>
      <c r="CJ115" s="24"/>
      <c r="CK115" s="32"/>
      <c r="CM115" s="47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4">
        <f t="shared" si="216"/>
        <v>0.74805605884208004</v>
      </c>
      <c r="DD115" s="14">
        <f t="shared" si="217"/>
        <v>0.74805605884208004</v>
      </c>
      <c r="DE115" s="14">
        <f t="shared" si="218"/>
        <v>0.74805605884208004</v>
      </c>
      <c r="DF115" s="14">
        <f t="shared" si="219"/>
        <v>0.74805605884208004</v>
      </c>
      <c r="DG115" s="14">
        <f t="shared" si="220"/>
        <v>0.74805605884208004</v>
      </c>
      <c r="DH115" s="14">
        <f t="shared" si="221"/>
        <v>0.74805605884208004</v>
      </c>
      <c r="DI115" s="14">
        <f t="shared" si="222"/>
        <v>0.74805605884208004</v>
      </c>
      <c r="DJ115" s="14">
        <f t="shared" si="223"/>
        <v>0.74805605884208004</v>
      </c>
      <c r="DK115" s="14">
        <f t="shared" si="224"/>
        <v>0.74805605884208004</v>
      </c>
      <c r="DL115" s="14">
        <f t="shared" si="225"/>
        <v>0.74805605884208004</v>
      </c>
      <c r="DM115" s="14">
        <f t="shared" si="226"/>
        <v>0.74805605884208004</v>
      </c>
      <c r="DN115" s="12"/>
      <c r="DO115" s="12"/>
      <c r="DP115" s="12"/>
      <c r="DQ115" s="12"/>
      <c r="DR115" s="12"/>
      <c r="DS115" s="24"/>
      <c r="DT115" s="24"/>
      <c r="DU115" s="24"/>
      <c r="DV115" s="24"/>
      <c r="DW115" s="24"/>
      <c r="DX115" s="24"/>
      <c r="DY115" s="24"/>
      <c r="DZ115" s="24"/>
      <c r="EA115" s="24"/>
      <c r="EB115" s="32"/>
      <c r="ED115" s="47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4">
        <f t="shared" si="320"/>
        <v>8.4029678554565224E-3</v>
      </c>
      <c r="EU115" s="14">
        <f t="shared" si="321"/>
        <v>0.55767817062937297</v>
      </c>
      <c r="EV115" s="14">
        <f t="shared" si="322"/>
        <v>1.0898236084179957</v>
      </c>
      <c r="EW115" s="14">
        <f t="shared" si="323"/>
        <v>1.6059475956892852</v>
      </c>
      <c r="EX115" s="14">
        <f t="shared" si="324"/>
        <v>2.1084126067269544</v>
      </c>
      <c r="EY115" s="14">
        <f t="shared" si="325"/>
        <v>2.6006870824428807</v>
      </c>
      <c r="EZ115" s="14">
        <f t="shared" si="326"/>
        <v>3.0872286451837332</v>
      </c>
      <c r="FA115" s="14">
        <f t="shared" si="327"/>
        <v>3.5733966092344045</v>
      </c>
      <c r="FB115" s="14">
        <f t="shared" si="328"/>
        <v>4.0653920515742659</v>
      </c>
      <c r="FC115" s="14">
        <f t="shared" si="329"/>
        <v>4.5702241625135702</v>
      </c>
      <c r="FD115" s="14">
        <f t="shared" si="330"/>
        <v>5.09570209572286</v>
      </c>
      <c r="FE115" s="12"/>
      <c r="FF115" s="12"/>
      <c r="FG115" s="12"/>
      <c r="FH115" s="12"/>
      <c r="FI115" s="12"/>
      <c r="FJ115" s="24"/>
      <c r="FK115" s="24"/>
      <c r="FL115" s="24"/>
      <c r="FM115" s="24"/>
      <c r="FN115" s="24"/>
      <c r="FO115" s="24"/>
      <c r="FP115" s="24"/>
      <c r="FQ115" s="24"/>
      <c r="FR115" s="24"/>
      <c r="FS115" s="32"/>
    </row>
    <row r="116" spans="5:175" ht="15" customHeight="1" x14ac:dyDescent="0.25">
      <c r="E116" s="46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4">
        <f t="shared" si="331"/>
        <v>1.0408014166590946</v>
      </c>
      <c r="V116" s="14">
        <f t="shared" si="332"/>
        <v>3.0969286788839714</v>
      </c>
      <c r="W116" s="14">
        <f t="shared" si="333"/>
        <v>4.9820348153968697</v>
      </c>
      <c r="X116" s="14">
        <f t="shared" si="334"/>
        <v>6.7078921997231822</v>
      </c>
      <c r="Y116" s="14">
        <f t="shared" si="335"/>
        <v>8.2899829808202092</v>
      </c>
      <c r="Z116" s="14">
        <f t="shared" si="336"/>
        <v>9.7466448347021899</v>
      </c>
      <c r="AA116" s="14">
        <f t="shared" si="337"/>
        <v>11.098605738715349</v>
      </c>
      <c r="AB116" s="14">
        <f t="shared" si="338"/>
        <v>12.368652943997104</v>
      </c>
      <c r="AC116" s="14">
        <f t="shared" si="339"/>
        <v>13.581425043874535</v>
      </c>
      <c r="AD116" s="14">
        <f t="shared" si="340"/>
        <v>14.763322710927607</v>
      </c>
      <c r="AE116" s="14">
        <f t="shared" si="341"/>
        <v>15.942541020239371</v>
      </c>
      <c r="AF116" s="14">
        <f t="shared" ref="AF116:AT116" si="353">FD116/(1-DM116)</f>
        <v>26.239046884766687</v>
      </c>
      <c r="AG116" s="33">
        <f t="shared" si="353"/>
        <v>30.049344414807251</v>
      </c>
      <c r="AH116" s="33">
        <f t="shared" si="353"/>
        <v>33.978435037261569</v>
      </c>
      <c r="AI116" s="33">
        <f t="shared" si="353"/>
        <v>38.03381454284979</v>
      </c>
      <c r="AJ116" s="33">
        <f t="shared" si="353"/>
        <v>42.223053991358874</v>
      </c>
      <c r="AK116" s="33">
        <f t="shared" si="353"/>
        <v>46.553972049138707</v>
      </c>
      <c r="AL116" s="33">
        <f t="shared" si="353"/>
        <v>51.034814113686068</v>
      </c>
      <c r="AM116" s="33">
        <f t="shared" si="353"/>
        <v>55.674447468041009</v>
      </c>
      <c r="AN116" s="33">
        <f t="shared" si="353"/>
        <v>60.482582606410269</v>
      </c>
      <c r="AO116" s="33">
        <f t="shared" si="353"/>
        <v>65.47003233473842</v>
      </c>
      <c r="AP116" s="33">
        <f t="shared" si="353"/>
        <v>70.649022360208008</v>
      </c>
      <c r="AQ116" s="33">
        <f t="shared" si="353"/>
        <v>76.033569964090674</v>
      </c>
      <c r="AR116" s="33">
        <f t="shared" si="353"/>
        <v>81.639951170456072</v>
      </c>
      <c r="AS116" s="33">
        <f t="shared" si="353"/>
        <v>87.487281801803036</v>
      </c>
      <c r="AT116" s="33">
        <v>100</v>
      </c>
      <c r="AV116" s="47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26">
        <f t="shared" si="342"/>
        <v>-14641.912867309944</v>
      </c>
      <c r="BM116" s="26">
        <f t="shared" si="343"/>
        <v>-768076.99871469464</v>
      </c>
      <c r="BN116" s="26">
        <f t="shared" si="344"/>
        <v>-1496270.6933599405</v>
      </c>
      <c r="BO116" s="26">
        <f t="shared" si="345"/>
        <v>-2206126.4688049601</v>
      </c>
      <c r="BP116" s="26">
        <f t="shared" si="346"/>
        <v>-2907653.2097571925</v>
      </c>
      <c r="BQ116" s="26">
        <f t="shared" si="347"/>
        <v>-3614366.0415887451</v>
      </c>
      <c r="BR116" s="26">
        <f t="shared" si="348"/>
        <v>-4343902.9145214437</v>
      </c>
      <c r="BS116" s="26">
        <f t="shared" si="349"/>
        <v>-5118923.2661286052</v>
      </c>
      <c r="BT116" s="26">
        <f t="shared" si="350"/>
        <v>-5968375.2445340175</v>
      </c>
      <c r="BU116" s="26">
        <f t="shared" si="351"/>
        <v>-6929245.8486966593</v>
      </c>
      <c r="BV116" s="26">
        <f t="shared" si="352"/>
        <v>-8048946.1152851414</v>
      </c>
      <c r="BW116" s="26">
        <f t="shared" ref="BW116:BW126" si="354">-($C$16*$C$15*AF74)/($C$13)</f>
        <v>-9388534.1652661841</v>
      </c>
      <c r="BX116" s="26">
        <f t="shared" ref="BX116:BX126" si="355">-($C$16*$C$15*AG74)/($C$13)</f>
        <v>-10760372.999658544</v>
      </c>
      <c r="BY116" s="26">
        <f t="shared" ref="BY116:BY126" si="356">-($C$16*$C$15*AH74)/($C$13)</f>
        <v>-12169870.75362004</v>
      </c>
      <c r="BZ116" s="26">
        <f t="shared" ref="BZ116:BZ126" si="357">-($C$16*$C$15*AI74)/($C$13)</f>
        <v>-13622167.574748337</v>
      </c>
      <c r="CA116" s="26">
        <f t="shared" ref="CA116:CA126" si="358">-($C$16*$C$15*AJ74)/($C$13)</f>
        <v>-15122354.826114785</v>
      </c>
      <c r="CB116" s="26">
        <f t="shared" ref="CB116:CB126" si="359">-($C$16*$C$15*AK74)/($C$13)</f>
        <v>-16675687.91352408</v>
      </c>
      <c r="CC116" s="26">
        <f t="shared" ref="CC116:CC126" si="360">-($C$16*$C$15*AL74)/($C$13)</f>
        <v>-18287805.862402491</v>
      </c>
      <c r="CD116" s="26">
        <f t="shared" ref="CD116:CD126" si="361">-($C$16*$C$15*AM74)/($C$13)</f>
        <v>-19964971.147206664</v>
      </c>
      <c r="CE116" s="26">
        <f t="shared" ref="CE116:CE126" si="362">-($C$16*$C$15*AN74)/($C$13)</f>
        <v>-21714344.536097683</v>
      </c>
      <c r="CF116" s="26">
        <f t="shared" ref="CF116:CF126" si="363">-($C$16*$C$15*AO74)/($C$13)</f>
        <v>-23544311.937102374</v>
      </c>
      <c r="CG116" s="26">
        <f t="shared" ref="CG116:CG126" si="364">-($C$16*$C$15*AP74)/($C$13)</f>
        <v>-25464883.566131957</v>
      </c>
      <c r="CH116" s="26">
        <f t="shared" ref="CH116:CH126" si="365">-($C$16*$C$15*AQ74)/($C$13)</f>
        <v>-27488190.424966265</v>
      </c>
      <c r="CI116" s="26">
        <f t="shared" ref="CI116:CI126" si="366">-($C$16*$C$15*AR74)/($C$13)</f>
        <v>-29629109.392889321</v>
      </c>
      <c r="CJ116" s="26">
        <f t="shared" ref="CJ116:CJ126" si="367">-($C$16*$C$15*AS74)/($C$13)</f>
        <v>-31906056.626592088</v>
      </c>
      <c r="CK116" s="26">
        <f t="shared" ref="CK116:CK126" si="368">-($C$16*$C$15*AT74)/($C$13)</f>
        <v>-34342000</v>
      </c>
      <c r="CM116" s="47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4">
        <f t="shared" ref="DC116:DC124" si="369">$C$24/($C$25-$C$26*DC117)</f>
        <v>0.74862965128437076</v>
      </c>
      <c r="DD116" s="14">
        <f t="shared" ref="DD116:DD124" si="370">$C$24/($C$25-$C$26*DD117)</f>
        <v>0.74862965128437076</v>
      </c>
      <c r="DE116" s="14">
        <f t="shared" ref="DE116:DE124" si="371">$C$24/($C$25-$C$26*DE117)</f>
        <v>0.74862965128437076</v>
      </c>
      <c r="DF116" s="14">
        <f t="shared" ref="DF116:DF124" si="372">$C$24/($C$25-$C$26*DF117)</f>
        <v>0.74862965128437076</v>
      </c>
      <c r="DG116" s="14">
        <f t="shared" ref="DG116:DG124" si="373">$C$24/($C$25-$C$26*DG117)</f>
        <v>0.74862965128437076</v>
      </c>
      <c r="DH116" s="14">
        <f t="shared" ref="DH116:DH124" si="374">$C$24/($C$25-$C$26*DH117)</f>
        <v>0.74862965128437076</v>
      </c>
      <c r="DI116" s="14">
        <f t="shared" ref="DI116:DI124" si="375">$C$24/($C$25-$C$26*DI117)</f>
        <v>0.74862965128437076</v>
      </c>
      <c r="DJ116" s="14">
        <f t="shared" ref="DJ116:DJ124" si="376">$C$24/($C$25-$C$26*DJ117)</f>
        <v>0.74862965128437076</v>
      </c>
      <c r="DK116" s="14">
        <f t="shared" ref="DK116:DK124" si="377">$C$24/($C$25-$C$26*DK117)</f>
        <v>0.74862965128437076</v>
      </c>
      <c r="DL116" s="14">
        <f t="shared" ref="DL116:DL124" si="378">$C$24/($C$25-$C$26*DL117)</f>
        <v>0.74862965128437076</v>
      </c>
      <c r="DM116" s="14">
        <f t="shared" ref="DM116:DM124" si="379">$C$24/($C$25-$C$26*DM117)</f>
        <v>0.74862965128437076</v>
      </c>
      <c r="DN116" s="14">
        <f t="shared" ref="DN116:DN124" si="380">$C$24/($C$25-$C$26*DN117)</f>
        <v>0.74862965128437076</v>
      </c>
      <c r="DO116" s="14">
        <f t="shared" ref="DO116:DO124" si="381">$C$24/($C$25-$C$26*DO117)</f>
        <v>0.74862965128437076</v>
      </c>
      <c r="DP116" s="14">
        <f t="shared" ref="DP116:DP124" si="382">$C$24/($C$25-$C$26*DP117)</f>
        <v>0.74862965128437076</v>
      </c>
      <c r="DQ116" s="14">
        <f t="shared" ref="DQ116:DQ124" si="383">$C$24/($C$25-$C$26*DQ117)</f>
        <v>0.74862965128437076</v>
      </c>
      <c r="DR116" s="14">
        <f t="shared" ref="DR116:DR124" si="384">$C$24/($C$25-$C$26*DR117)</f>
        <v>0.74862965128437076</v>
      </c>
      <c r="DS116" s="14">
        <f t="shared" ref="DS116:DS124" si="385">$C$24/($C$25-$C$26*DS117)</f>
        <v>0.74862965128437076</v>
      </c>
      <c r="DT116" s="14">
        <f t="shared" ref="DT116:DT124" si="386">$C$24/($C$25-$C$26*DT117)</f>
        <v>0.74862965128437076</v>
      </c>
      <c r="DU116" s="14">
        <f t="shared" ref="DU116:DU124" si="387">$C$24/($C$25-$C$26*DU117)</f>
        <v>0.74862965128437076</v>
      </c>
      <c r="DV116" s="14">
        <f t="shared" ref="DV116:DV124" si="388">$C$24/($C$25-$C$26*DV117)</f>
        <v>0.74862965128437076</v>
      </c>
      <c r="DW116" s="14">
        <f t="shared" ref="DW116:DW124" si="389">$C$24/($C$25-$C$26*DW117)</f>
        <v>0.74862965128437076</v>
      </c>
      <c r="DX116" s="14">
        <f t="shared" ref="DX116:DX124" si="390">$C$24/($C$25-$C$26*DX117)</f>
        <v>0.74862965128437076</v>
      </c>
      <c r="DY116" s="14">
        <f t="shared" ref="DY116:DY124" si="391">$C$24/($C$25-$C$26*DY117)</f>
        <v>0.74862965128437076</v>
      </c>
      <c r="DZ116" s="14">
        <f t="shared" ref="DZ116:DZ124" si="392">$C$24/($C$25-$C$26*DZ117)</f>
        <v>0.74862965128437076</v>
      </c>
      <c r="EA116" s="14">
        <f t="shared" ref="EA116:EA124" si="393">$C$24/($C$25-$C$26*EA117)</f>
        <v>0.74862965128437076</v>
      </c>
      <c r="EB116" s="14">
        <f t="shared" ref="EB116:EB124" si="394">$C$24/($C$25-$C$26*EB117)</f>
        <v>0.74862965128437076</v>
      </c>
      <c r="ED116" s="47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4">
        <f t="shared" si="320"/>
        <v>6.3977334182471167E-3</v>
      </c>
      <c r="EU116" s="14">
        <f t="shared" si="321"/>
        <v>0.61657994379635039</v>
      </c>
      <c r="EV116" s="14">
        <f t="shared" si="322"/>
        <v>1.2170288377771061</v>
      </c>
      <c r="EW116" s="14">
        <f t="shared" si="323"/>
        <v>1.8122734791601067</v>
      </c>
      <c r="EX116" s="14">
        <f t="shared" si="324"/>
        <v>2.4084028659079206</v>
      </c>
      <c r="EY116" s="14">
        <f t="shared" si="325"/>
        <v>3.0132097696290687</v>
      </c>
      <c r="EZ116" s="14">
        <f t="shared" si="326"/>
        <v>3.6364070374882109</v>
      </c>
      <c r="FA116" s="14">
        <f t="shared" si="327"/>
        <v>4.2899387041005834</v>
      </c>
      <c r="FB116" s="14">
        <f t="shared" si="328"/>
        <v>4.9884139025665801</v>
      </c>
      <c r="FC116" s="14">
        <f t="shared" si="329"/>
        <v>5.7496995181263308</v>
      </c>
      <c r="FD116" s="14">
        <f t="shared" si="330"/>
        <v>6.5957183653895468</v>
      </c>
      <c r="FE116" s="14">
        <f t="shared" ref="FE116:FE125" si="395">(FE117*$C$26-BW116)/($C$25-$C$26*DN117)</f>
        <v>7.5535141842261444</v>
      </c>
      <c r="FF116" s="14">
        <f t="shared" ref="FF116:FF125" si="396">(FF117*$C$26-BX116)/($C$25-$C$26*DO117)</f>
        <v>8.5411710641277949</v>
      </c>
      <c r="FG116" s="14">
        <f t="shared" ref="FG116:FG125" si="397">(FG117*$C$26-BY116)/($C$25-$C$26*DP117)</f>
        <v>9.5605732246217219</v>
      </c>
      <c r="FH116" s="14">
        <f t="shared" ref="FH116:FH125" si="398">(FH117*$C$26-BZ116)/($C$25-$C$26*DQ117)</f>
        <v>10.613623805646721</v>
      </c>
      <c r="FI116" s="14">
        <f t="shared" ref="FI116:FI125" si="399">(FI117*$C$26-CA116)/($C$25-$C$26*DR117)</f>
        <v>11.702288188089653</v>
      </c>
      <c r="FJ116" s="14">
        <f t="shared" ref="FJ116:FJ125" si="400">(FJ117*$C$26-CB116)/($C$25-$C$26*DS117)</f>
        <v>12.828639020394585</v>
      </c>
      <c r="FK116" s="14">
        <f t="shared" ref="FK116:FK125" si="401">(FK117*$C$26-CC116)/($C$25-$C$26*DT117)</f>
        <v>13.994905274591449</v>
      </c>
      <c r="FL116" s="14">
        <f t="shared" ref="FL116:FL125" si="402">(FL117*$C$26-CD116)/($C$25-$C$26*DU117)</f>
        <v>15.203527880995201</v>
      </c>
      <c r="FM116" s="14">
        <f t="shared" ref="FM116:FM125" si="403">(FM117*$C$26-CE116)/($C$25-$C$26*DV117)</f>
        <v>16.457224858406718</v>
      </c>
      <c r="FN116" s="14">
        <f t="shared" ref="FN116:FN125" si="404">(FN117*$C$26-CF116)/($C$25-$C$26*DW117)</f>
        <v>17.759069387103775</v>
      </c>
      <c r="FO116" s="14">
        <f t="shared" ref="FO116:FO125" si="405">(FO117*$C$26-CG116)/($C$25-$C$26*DX117)</f>
        <v>19.112584995967666</v>
      </c>
      <c r="FP116" s="14">
        <f t="shared" ref="FP116:FP125" si="406">(FP117*$C$26-CH116)/($C$25-$C$26*DY117)</f>
        <v>20.521862994844486</v>
      </c>
      <c r="FQ116" s="14">
        <f t="shared" ref="FQ116:FQ125" si="407">(FQ117*$C$26-CI116)/($C$25-$C$26*DZ117)</f>
        <v>21.991708534701754</v>
      </c>
      <c r="FR116" s="14">
        <f t="shared" ref="FR116:FR125" si="408">(FR117*$C$26-CJ116)/($C$25-$C$26*EA117)</f>
        <v>23.527823294646993</v>
      </c>
      <c r="FS116" s="14">
        <f t="shared" ref="FS116:FS125" si="409">(FS117*$C$26-CK116)/($C$25-$C$26*EB117)</f>
        <v>25.137034871562914</v>
      </c>
    </row>
    <row r="117" spans="5:175" ht="15" customHeight="1" x14ac:dyDescent="0.25">
      <c r="E117" s="46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>
        <f t="shared" si="331"/>
        <v>0.78514449219901927</v>
      </c>
      <c r="V117" s="14">
        <f t="shared" si="332"/>
        <v>2.9541721471458393</v>
      </c>
      <c r="W117" s="14">
        <f t="shared" si="333"/>
        <v>4.9882705918692762</v>
      </c>
      <c r="X117" s="14">
        <f t="shared" si="334"/>
        <v>6.9005975559379404</v>
      </c>
      <c r="Y117" s="14">
        <f t="shared" si="335"/>
        <v>8.7084030452375245</v>
      </c>
      <c r="Z117" s="14">
        <f t="shared" si="336"/>
        <v>10.432481379940754</v>
      </c>
      <c r="AA117" s="14">
        <f t="shared" si="337"/>
        <v>12.09695798754216</v>
      </c>
      <c r="AB117" s="14">
        <f t="shared" si="338"/>
        <v>13.729233274057371</v>
      </c>
      <c r="AC117" s="14">
        <f t="shared" si="339"/>
        <v>15.360091124701675</v>
      </c>
      <c r="AD117" s="14">
        <f t="shared" si="340"/>
        <v>17.023988280626142</v>
      </c>
      <c r="AE117" s="14">
        <f t="shared" si="341"/>
        <v>18.759551424465339</v>
      </c>
      <c r="AF117" s="14">
        <f t="shared" ref="AF117:AF126" si="410">DN117*AF116+FE117</f>
        <v>27.424534988473567</v>
      </c>
      <c r="AG117" s="14">
        <f t="shared" ref="AG117:AG126" si="411">DO117*AG116+FF117</f>
        <v>31.258972271764783</v>
      </c>
      <c r="AH117" s="14">
        <f t="shared" ref="AH117:AH126" si="412">DP117*AH116+FG117</f>
        <v>35.215499888174918</v>
      </c>
      <c r="AI117" s="14">
        <f t="shared" ref="AI117:AI126" si="413">DQ117*AI116+FH117</f>
        <v>39.301000607501805</v>
      </c>
      <c r="AJ117" s="14">
        <f t="shared" ref="AJ117:AJ126" si="414">DR117*AJ116+FI117</f>
        <v>43.522508900584697</v>
      </c>
      <c r="AK117" s="14">
        <f t="shared" ref="AK117:AK126" si="415">DS117*AK116+FJ117</f>
        <v>47.887347336046993</v>
      </c>
      <c r="AL117" s="14">
        <f t="shared" ref="AL117:AL126" si="416">DT117*AL116+FK117</f>
        <v>52.403271768387484</v>
      </c>
      <c r="AM117" s="14">
        <f t="shared" ref="AM117:AM126" si="417">DU117*AM116+FL117</f>
        <v>57.07863229255917</v>
      </c>
      <c r="AN117" s="14">
        <f t="shared" ref="AN117:AN126" si="418">DV117*AN116+FM117</f>
        <v>61.922557791489353</v>
      </c>
      <c r="AO117" s="14">
        <f t="shared" ref="AO117:AO126" si="419">DW117*AO116+FN117</f>
        <v>66.945173154685065</v>
      </c>
      <c r="AP117" s="14">
        <f t="shared" ref="AP117:AP126" si="420">DX117*AP116+FO117</f>
        <v>72.157859965819654</v>
      </c>
      <c r="AQ117" s="14">
        <f t="shared" ref="AQ117:AQ126" si="421">DY117*AQ116+FP117</f>
        <v>77.573573737414719</v>
      </c>
      <c r="AR117" s="14">
        <f t="shared" ref="AR117:AR126" si="422">DZ117*AR116+FQ117</f>
        <v>83.207233733604426</v>
      </c>
      <c r="AS117" s="14">
        <f t="shared" ref="AS117:AS126" si="423">EA117*AS116+FR117</f>
        <v>89.076205226155096</v>
      </c>
      <c r="AT117" s="33">
        <v>100</v>
      </c>
      <c r="AV117" s="47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6">
        <f t="shared" si="342"/>
        <v>-11045.351263959486</v>
      </c>
      <c r="BM117" s="26">
        <f t="shared" si="343"/>
        <v>-803703.90855369612</v>
      </c>
      <c r="BN117" s="26">
        <f t="shared" si="344"/>
        <v>-1578352.7444854598</v>
      </c>
      <c r="BO117" s="26">
        <f t="shared" si="345"/>
        <v>-2341492.8123064032</v>
      </c>
      <c r="BP117" s="26">
        <f t="shared" si="346"/>
        <v>-3102214.38318966</v>
      </c>
      <c r="BQ117" s="26">
        <f t="shared" si="347"/>
        <v>-3872467.5342615112</v>
      </c>
      <c r="BR117" s="26">
        <f t="shared" si="348"/>
        <v>-4667472.961931007</v>
      </c>
      <c r="BS117" s="26">
        <f t="shared" si="349"/>
        <v>-5506314.4704142455</v>
      </c>
      <c r="BT117" s="26">
        <f t="shared" si="350"/>
        <v>-6412765.3971667411</v>
      </c>
      <c r="BU117" s="26">
        <f t="shared" si="351"/>
        <v>-7416416.3918272108</v>
      </c>
      <c r="BV117" s="26">
        <f t="shared" si="352"/>
        <v>-8554192.4027859308</v>
      </c>
      <c r="BW117" s="26">
        <f t="shared" si="354"/>
        <v>-9872373.8809801061</v>
      </c>
      <c r="BX117" s="26">
        <f t="shared" si="355"/>
        <v>-11229360.117044535</v>
      </c>
      <c r="BY117" s="26">
        <f t="shared" si="356"/>
        <v>-12628582.217144018</v>
      </c>
      <c r="BZ117" s="26">
        <f t="shared" si="357"/>
        <v>-14073497.56521011</v>
      </c>
      <c r="CA117" s="26">
        <f t="shared" si="358"/>
        <v>-15567683.255659511</v>
      </c>
      <c r="CB117" s="26">
        <f t="shared" si="359"/>
        <v>-17114935.302173272</v>
      </c>
      <c r="CC117" s="26">
        <f t="shared" si="360"/>
        <v>-18719378.096172404</v>
      </c>
      <c r="CD117" s="26">
        <f t="shared" si="361"/>
        <v>-20385589.20631817</v>
      </c>
      <c r="CE117" s="26">
        <f t="shared" si="362"/>
        <v>-22118745.458364338</v>
      </c>
      <c r="CF117" s="26">
        <f t="shared" si="363"/>
        <v>-23924797.360462867</v>
      </c>
      <c r="CG117" s="26">
        <f t="shared" si="364"/>
        <v>-25810680.40202326</v>
      </c>
      <c r="CH117" s="26">
        <f t="shared" si="365"/>
        <v>-27784573.628977757</v>
      </c>
      <c r="CI117" s="26">
        <f t="shared" si="366"/>
        <v>-29856218.278068274</v>
      </c>
      <c r="CJ117" s="26">
        <f t="shared" si="367"/>
        <v>-32037312.253922474</v>
      </c>
      <c r="CK117" s="26">
        <f t="shared" si="368"/>
        <v>-34342000</v>
      </c>
      <c r="CM117" s="47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14">
        <f t="shared" si="369"/>
        <v>0.74965389250761272</v>
      </c>
      <c r="DD117" s="14">
        <f t="shared" si="370"/>
        <v>0.74965389250761272</v>
      </c>
      <c r="DE117" s="14">
        <f t="shared" si="371"/>
        <v>0.74965389250761272</v>
      </c>
      <c r="DF117" s="14">
        <f t="shared" si="372"/>
        <v>0.74965389250761272</v>
      </c>
      <c r="DG117" s="14">
        <f t="shared" si="373"/>
        <v>0.74965389250761272</v>
      </c>
      <c r="DH117" s="14">
        <f t="shared" si="374"/>
        <v>0.74965389250761272</v>
      </c>
      <c r="DI117" s="14">
        <f t="shared" si="375"/>
        <v>0.74965389250761272</v>
      </c>
      <c r="DJ117" s="14">
        <f t="shared" si="376"/>
        <v>0.74965389250761272</v>
      </c>
      <c r="DK117" s="14">
        <f t="shared" si="377"/>
        <v>0.74965389250761272</v>
      </c>
      <c r="DL117" s="14">
        <f t="shared" si="378"/>
        <v>0.74965389250761272</v>
      </c>
      <c r="DM117" s="14">
        <f t="shared" si="379"/>
        <v>0.74965389250761272</v>
      </c>
      <c r="DN117" s="14">
        <f t="shared" si="380"/>
        <v>0.74965389250761272</v>
      </c>
      <c r="DO117" s="14">
        <f t="shared" si="381"/>
        <v>0.74965389250761272</v>
      </c>
      <c r="DP117" s="14">
        <f t="shared" si="382"/>
        <v>0.74965389250761272</v>
      </c>
      <c r="DQ117" s="14">
        <f t="shared" si="383"/>
        <v>0.74965389250761272</v>
      </c>
      <c r="DR117" s="14">
        <f t="shared" si="384"/>
        <v>0.74965389250761272</v>
      </c>
      <c r="DS117" s="14">
        <f t="shared" si="385"/>
        <v>0.74965389250761272</v>
      </c>
      <c r="DT117" s="14">
        <f t="shared" si="386"/>
        <v>0.74965389250761272</v>
      </c>
      <c r="DU117" s="14">
        <f t="shared" si="387"/>
        <v>0.74965389250761272</v>
      </c>
      <c r="DV117" s="14">
        <f t="shared" si="388"/>
        <v>0.74965389250761272</v>
      </c>
      <c r="DW117" s="14">
        <f t="shared" si="389"/>
        <v>0.74965389250761272</v>
      </c>
      <c r="DX117" s="14">
        <f t="shared" si="390"/>
        <v>0.74965389250761272</v>
      </c>
      <c r="DY117" s="14">
        <f t="shared" si="391"/>
        <v>0.74965389250761272</v>
      </c>
      <c r="DZ117" s="14">
        <f t="shared" si="392"/>
        <v>0.74965389250761272</v>
      </c>
      <c r="EA117" s="14">
        <f t="shared" si="393"/>
        <v>0.74965389250761272</v>
      </c>
      <c r="EB117" s="14">
        <f t="shared" si="394"/>
        <v>0.74965389250761272</v>
      </c>
      <c r="ED117" s="47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14">
        <f t="shared" si="320"/>
        <v>4.9036588730913093E-3</v>
      </c>
      <c r="EU117" s="14">
        <f t="shared" si="321"/>
        <v>0.63254750820201189</v>
      </c>
      <c r="EV117" s="14">
        <f t="shared" si="322"/>
        <v>1.2534687998985672</v>
      </c>
      <c r="EW117" s="14">
        <f t="shared" si="323"/>
        <v>1.8720000578940039</v>
      </c>
      <c r="EX117" s="14">
        <f t="shared" si="324"/>
        <v>2.4937850348437935</v>
      </c>
      <c r="EY117" s="14">
        <f t="shared" si="325"/>
        <v>3.1258711407170403</v>
      </c>
      <c r="EZ117" s="14">
        <f t="shared" si="326"/>
        <v>3.7768449941068707</v>
      </c>
      <c r="FA117" s="14">
        <f t="shared" si="327"/>
        <v>4.4570244495141988</v>
      </c>
      <c r="FB117" s="14">
        <f t="shared" si="328"/>
        <v>5.1787229747607544</v>
      </c>
      <c r="FC117" s="14">
        <f t="shared" si="329"/>
        <v>5.9566059440332193</v>
      </c>
      <c r="FD117" s="14">
        <f t="shared" si="330"/>
        <v>6.8081634921806078</v>
      </c>
      <c r="FE117" s="14">
        <f t="shared" si="395"/>
        <v>7.7543313556184712</v>
      </c>
      <c r="FF117" s="14">
        <f t="shared" si="396"/>
        <v>8.7323642639026353</v>
      </c>
      <c r="FG117" s="14">
        <f t="shared" si="397"/>
        <v>9.743433801174735</v>
      </c>
      <c r="FH117" s="14">
        <f t="shared" si="398"/>
        <v>10.788803488541816</v>
      </c>
      <c r="FI117" s="14">
        <f t="shared" si="399"/>
        <v>11.869832122403427</v>
      </c>
      <c r="FJ117" s="14">
        <f t="shared" si="400"/>
        <v>12.987980977719559</v>
      </c>
      <c r="FK117" s="14">
        <f t="shared" si="401"/>
        <v>14.144824714660276</v>
      </c>
      <c r="FL117" s="14">
        <f t="shared" si="402"/>
        <v>15.342066034931625</v>
      </c>
      <c r="FM117" s="14">
        <f t="shared" si="403"/>
        <v>16.581554311680659</v>
      </c>
      <c r="FN117" s="14">
        <f t="shared" si="404"/>
        <v>17.865308572349139</v>
      </c>
      <c r="FO117" s="14">
        <f t="shared" si="405"/>
        <v>19.195545351632362</v>
      </c>
      <c r="FP117" s="14">
        <f t="shared" si="406"/>
        <v>20.574712052584236</v>
      </c>
      <c r="FQ117" s="14">
        <f t="shared" si="407"/>
        <v>22.005526554540598</v>
      </c>
      <c r="FR117" s="14">
        <f t="shared" si="408"/>
        <v>23.49102387852302</v>
      </c>
      <c r="FS117" s="14">
        <f t="shared" si="409"/>
        <v>25.03461074923873</v>
      </c>
    </row>
    <row r="118" spans="5:175" ht="15" customHeight="1" x14ac:dyDescent="0.25">
      <c r="E118" s="46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>
        <f t="shared" si="331"/>
        <v>0.59381318222825419</v>
      </c>
      <c r="V118" s="14">
        <f t="shared" si="332"/>
        <v>2.8638578766562466</v>
      </c>
      <c r="W118" s="14">
        <f t="shared" si="333"/>
        <v>5.0280185927631464</v>
      </c>
      <c r="X118" s="14">
        <f t="shared" si="334"/>
        <v>7.1003453003004102</v>
      </c>
      <c r="Y118" s="14">
        <f t="shared" si="335"/>
        <v>9.0990682316960871</v>
      </c>
      <c r="Z118" s="14">
        <f t="shared" si="336"/>
        <v>11.046242109566816</v>
      </c>
      <c r="AA118" s="14">
        <f t="shared" si="337"/>
        <v>12.967664552326859</v>
      </c>
      <c r="AB118" s="14">
        <f t="shared" si="338"/>
        <v>14.892942663959065</v>
      </c>
      <c r="AC118" s="14">
        <f t="shared" si="339"/>
        <v>16.855721657488591</v>
      </c>
      <c r="AD118" s="14">
        <f t="shared" si="340"/>
        <v>18.894097050201644</v>
      </c>
      <c r="AE118" s="14">
        <f t="shared" si="341"/>
        <v>21.051241616602738</v>
      </c>
      <c r="AF118" s="14">
        <f t="shared" si="410"/>
        <v>28.497028048588771</v>
      </c>
      <c r="AG118" s="14">
        <f t="shared" si="411"/>
        <v>32.34561409402702</v>
      </c>
      <c r="AH118" s="14">
        <f t="shared" si="412"/>
        <v>36.319511195419864</v>
      </c>
      <c r="AI118" s="14">
        <f t="shared" si="413"/>
        <v>40.424717036188191</v>
      </c>
      <c r="AJ118" s="14">
        <f t="shared" si="414"/>
        <v>44.667440613536712</v>
      </c>
      <c r="AK118" s="14">
        <f t="shared" si="415"/>
        <v>49.05418966772443</v>
      </c>
      <c r="AL118" s="14">
        <f t="shared" si="416"/>
        <v>53.591867108294679</v>
      </c>
      <c r="AM118" s="14">
        <f t="shared" si="417"/>
        <v>58.28788047418989</v>
      </c>
      <c r="AN118" s="14">
        <f t="shared" si="418"/>
        <v>63.150269130396516</v>
      </c>
      <c r="AO118" s="14">
        <f t="shared" si="419"/>
        <v>68.187854771725995</v>
      </c>
      <c r="AP118" s="14">
        <f t="shared" si="420"/>
        <v>73.410421916565269</v>
      </c>
      <c r="AQ118" s="14">
        <f t="shared" si="421"/>
        <v>78.828936481864417</v>
      </c>
      <c r="AR118" s="14">
        <f t="shared" si="422"/>
        <v>84.455812299420955</v>
      </c>
      <c r="AS118" s="14">
        <f t="shared" si="423"/>
        <v>90.305237641761778</v>
      </c>
      <c r="AT118" s="33">
        <v>100</v>
      </c>
      <c r="AV118" s="47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6">
        <f t="shared" si="342"/>
        <v>-8353.7173705577006</v>
      </c>
      <c r="BM118" s="26">
        <f t="shared" si="343"/>
        <v>-836507.62426303269</v>
      </c>
      <c r="BN118" s="26">
        <f t="shared" si="344"/>
        <v>-1652103.7682395198</v>
      </c>
      <c r="BO118" s="26">
        <f t="shared" si="345"/>
        <v>-2461325.4239098867</v>
      </c>
      <c r="BP118" s="26">
        <f t="shared" si="346"/>
        <v>-3272505.4996935008</v>
      </c>
      <c r="BQ118" s="26">
        <f t="shared" si="347"/>
        <v>-4096303.5684371591</v>
      </c>
      <c r="BR118" s="26">
        <f t="shared" si="348"/>
        <v>-4945969.4584968733</v>
      </c>
      <c r="BS118" s="26">
        <f t="shared" si="349"/>
        <v>-5837718.3170922715</v>
      </c>
      <c r="BT118" s="26">
        <f t="shared" si="350"/>
        <v>-6791247.2332071438</v>
      </c>
      <c r="BU118" s="26">
        <f t="shared" si="351"/>
        <v>-7830430.8467530776</v>
      </c>
      <c r="BV118" s="26">
        <f t="shared" si="352"/>
        <v>-8984243.2755656615</v>
      </c>
      <c r="BW118" s="26">
        <f t="shared" si="354"/>
        <v>-10287966.725166673</v>
      </c>
      <c r="BX118" s="26">
        <f t="shared" si="355"/>
        <v>-11634533.729312759</v>
      </c>
      <c r="BY118" s="26">
        <f t="shared" si="356"/>
        <v>-13026070.210243253</v>
      </c>
      <c r="BZ118" s="26">
        <f t="shared" si="357"/>
        <v>-14464867.406259414</v>
      </c>
      <c r="CA118" s="26">
        <f t="shared" si="358"/>
        <v>-15953401.6494583</v>
      </c>
      <c r="CB118" s="26">
        <f t="shared" si="359"/>
        <v>-17494363.756186761</v>
      </c>
      <c r="CC118" s="26">
        <f t="shared" si="360"/>
        <v>-19090697.976011101</v>
      </c>
      <c r="CD118" s="26">
        <f t="shared" si="361"/>
        <v>-20745650.997611903</v>
      </c>
      <c r="CE118" s="26">
        <f t="shared" si="362"/>
        <v>-22462831.9867718</v>
      </c>
      <c r="CF118" s="26">
        <f t="shared" si="363"/>
        <v>-24246285.053724181</v>
      </c>
      <c r="CG118" s="26">
        <f t="shared" si="364"/>
        <v>-26100575.925168298</v>
      </c>
      <c r="CH118" s="26">
        <f t="shared" si="365"/>
        <v>-28030894.929895569</v>
      </c>
      <c r="CI118" s="26">
        <f t="shared" si="366"/>
        <v>-30043178.683395557</v>
      </c>
      <c r="CJ118" s="26">
        <f t="shared" si="367"/>
        <v>-32144253.047739349</v>
      </c>
      <c r="CK118" s="26">
        <f t="shared" si="368"/>
        <v>-34342000</v>
      </c>
      <c r="CM118" s="47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14">
        <f t="shared" si="369"/>
        <v>0.75147894107579372</v>
      </c>
      <c r="DD118" s="14">
        <f t="shared" si="370"/>
        <v>0.75147894107579372</v>
      </c>
      <c r="DE118" s="14">
        <f t="shared" si="371"/>
        <v>0.75147894107579372</v>
      </c>
      <c r="DF118" s="14">
        <f t="shared" si="372"/>
        <v>0.75147894107579372</v>
      </c>
      <c r="DG118" s="14">
        <f t="shared" si="373"/>
        <v>0.75147894107579372</v>
      </c>
      <c r="DH118" s="14">
        <f t="shared" si="374"/>
        <v>0.75147894107579372</v>
      </c>
      <c r="DI118" s="14">
        <f t="shared" si="375"/>
        <v>0.75147894107579372</v>
      </c>
      <c r="DJ118" s="14">
        <f t="shared" si="376"/>
        <v>0.75147894107579372</v>
      </c>
      <c r="DK118" s="14">
        <f t="shared" si="377"/>
        <v>0.75147894107579372</v>
      </c>
      <c r="DL118" s="14">
        <f t="shared" si="378"/>
        <v>0.75147894107579372</v>
      </c>
      <c r="DM118" s="14">
        <f t="shared" si="379"/>
        <v>0.75147894107579372</v>
      </c>
      <c r="DN118" s="14">
        <f t="shared" si="380"/>
        <v>0.75147894107579372</v>
      </c>
      <c r="DO118" s="14">
        <f t="shared" si="381"/>
        <v>0.75147894107579372</v>
      </c>
      <c r="DP118" s="14">
        <f t="shared" si="382"/>
        <v>0.75147894107579372</v>
      </c>
      <c r="DQ118" s="14">
        <f t="shared" si="383"/>
        <v>0.75147894107579372</v>
      </c>
      <c r="DR118" s="14">
        <f t="shared" si="384"/>
        <v>0.75147894107579372</v>
      </c>
      <c r="DS118" s="14">
        <f t="shared" si="385"/>
        <v>0.75147894107579372</v>
      </c>
      <c r="DT118" s="14">
        <f t="shared" si="386"/>
        <v>0.75147894107579372</v>
      </c>
      <c r="DU118" s="14">
        <f t="shared" si="387"/>
        <v>0.75147894107579372</v>
      </c>
      <c r="DV118" s="14">
        <f t="shared" si="388"/>
        <v>0.75147894107579372</v>
      </c>
      <c r="DW118" s="14">
        <f t="shared" si="389"/>
        <v>0.75147894107579372</v>
      </c>
      <c r="DX118" s="14">
        <f t="shared" si="390"/>
        <v>0.75147894107579372</v>
      </c>
      <c r="DY118" s="14">
        <f t="shared" si="391"/>
        <v>0.75147894107579372</v>
      </c>
      <c r="DZ118" s="14">
        <f t="shared" si="392"/>
        <v>0.75147894107579372</v>
      </c>
      <c r="EA118" s="14">
        <f t="shared" si="393"/>
        <v>0.75147894107579372</v>
      </c>
      <c r="EB118" s="14">
        <f t="shared" si="394"/>
        <v>0.75147894107579372</v>
      </c>
      <c r="ED118" s="47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14">
        <f t="shared" si="320"/>
        <v>3.7936306390433821E-3</v>
      </c>
      <c r="EU118" s="14">
        <f t="shared" si="321"/>
        <v>0.64385971976348721</v>
      </c>
      <c r="EV118" s="14">
        <f t="shared" si="322"/>
        <v>1.2794382905856998</v>
      </c>
      <c r="EW118" s="14">
        <f t="shared" si="323"/>
        <v>1.9146915561739559</v>
      </c>
      <c r="EX118" s="14">
        <f t="shared" si="324"/>
        <v>2.5548867327997744</v>
      </c>
      <c r="EY118" s="14">
        <f t="shared" si="325"/>
        <v>3.206452049376002</v>
      </c>
      <c r="EZ118" s="14">
        <f t="shared" si="326"/>
        <v>3.8770553736103137</v>
      </c>
      <c r="FA118" s="14">
        <f t="shared" si="327"/>
        <v>4.5757129813878787</v>
      </c>
      <c r="FB118" s="14">
        <f t="shared" si="328"/>
        <v>5.3129366442700787</v>
      </c>
      <c r="FC118" s="14">
        <f t="shared" si="329"/>
        <v>6.1009283641899872</v>
      </c>
      <c r="FD118" s="14">
        <f t="shared" si="330"/>
        <v>6.9538337770886258</v>
      </c>
      <c r="FE118" s="14">
        <f t="shared" si="395"/>
        <v>7.888067535954602</v>
      </c>
      <c r="FF118" s="14">
        <f t="shared" si="396"/>
        <v>8.8551547121236229</v>
      </c>
      <c r="FG118" s="14">
        <f t="shared" si="397"/>
        <v>9.8558046299994402</v>
      </c>
      <c r="FH118" s="14">
        <f t="shared" si="398"/>
        <v>10.890842716443608</v>
      </c>
      <c r="FI118" s="14">
        <f t="shared" si="399"/>
        <v>11.961191711963513</v>
      </c>
      <c r="FJ118" s="14">
        <f t="shared" si="400"/>
        <v>13.067856600703099</v>
      </c>
      <c r="FK118" s="14">
        <f t="shared" si="401"/>
        <v>14.211911930879811</v>
      </c>
      <c r="FL118" s="14">
        <f t="shared" si="402"/>
        <v>15.394490320922916</v>
      </c>
      <c r="FM118" s="14">
        <f t="shared" si="403"/>
        <v>16.616770972543456</v>
      </c>
      <c r="FN118" s="14">
        <f t="shared" si="404"/>
        <v>17.879966939307611</v>
      </c>
      <c r="FO118" s="14">
        <f t="shared" si="405"/>
        <v>19.185309719155704</v>
      </c>
      <c r="FP118" s="14">
        <f t="shared" si="406"/>
        <v>20.534029434207007</v>
      </c>
      <c r="FQ118" s="14">
        <f t="shared" si="407"/>
        <v>21.927328403445848</v>
      </c>
      <c r="FR118" s="14">
        <f t="shared" si="408"/>
        <v>23.366345263360678</v>
      </c>
      <c r="FS118" s="14">
        <f t="shared" si="409"/>
        <v>24.852105892420614</v>
      </c>
    </row>
    <row r="119" spans="5:175" ht="15" customHeight="1" x14ac:dyDescent="0.25">
      <c r="E119" s="46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>
        <f t="shared" si="331"/>
        <v>0.45113202292173521</v>
      </c>
      <c r="V119" s="14">
        <f t="shared" si="332"/>
        <v>2.8101103842109962</v>
      </c>
      <c r="W119" s="14">
        <f t="shared" si="333"/>
        <v>5.0863283789523397</v>
      </c>
      <c r="X119" s="14">
        <f t="shared" si="334"/>
        <v>7.2943903479263819</v>
      </c>
      <c r="Y119" s="14">
        <f t="shared" si="335"/>
        <v>9.4529912570689696</v>
      </c>
      <c r="Z119" s="14">
        <f t="shared" si="336"/>
        <v>11.584678684175532</v>
      </c>
      <c r="AA119" s="14">
        <f t="shared" si="337"/>
        <v>13.715830296729276</v>
      </c>
      <c r="AB119" s="14">
        <f t="shared" si="338"/>
        <v>15.876755549523583</v>
      </c>
      <c r="AC119" s="14">
        <f t="shared" si="339"/>
        <v>18.101935448585852</v>
      </c>
      <c r="AD119" s="14">
        <f t="shared" si="340"/>
        <v>20.430419740729178</v>
      </c>
      <c r="AE119" s="14">
        <f t="shared" si="341"/>
        <v>22.906407958095372</v>
      </c>
      <c r="AF119" s="14">
        <f t="shared" si="410"/>
        <v>29.44476554832579</v>
      </c>
      <c r="AG119" s="14">
        <f t="shared" si="411"/>
        <v>33.301309912025083</v>
      </c>
      <c r="AH119" s="14">
        <f t="shared" si="412"/>
        <v>37.285904672935416</v>
      </c>
      <c r="AI119" s="14">
        <f t="shared" si="413"/>
        <v>41.403604837588091</v>
      </c>
      <c r="AJ119" s="14">
        <f t="shared" si="414"/>
        <v>45.659708347892334</v>
      </c>
      <c r="AK119" s="14">
        <f t="shared" si="415"/>
        <v>50.059794700770816</v>
      </c>
      <c r="AL119" s="14">
        <f t="shared" si="416"/>
        <v>54.609771161216663</v>
      </c>
      <c r="AM119" s="14">
        <f t="shared" si="417"/>
        <v>59.315927888366474</v>
      </c>
      <c r="AN119" s="14">
        <f t="shared" si="418"/>
        <v>64.185003712584518</v>
      </c>
      <c r="AO119" s="14">
        <f t="shared" si="419"/>
        <v>69.224264754931596</v>
      </c>
      <c r="AP119" s="14">
        <f t="shared" si="420"/>
        <v>74.44159858607172</v>
      </c>
      <c r="AQ119" s="14">
        <f t="shared" si="421"/>
        <v>79.845627195644056</v>
      </c>
      <c r="AR119" s="14">
        <f t="shared" si="422"/>
        <v>85.445842700180691</v>
      </c>
      <c r="AS119" s="14">
        <f t="shared" si="423"/>
        <v>91.252770471098458</v>
      </c>
      <c r="AT119" s="33">
        <v>100</v>
      </c>
      <c r="AV119" s="47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6">
        <f t="shared" si="342"/>
        <v>-6346.4899889129119</v>
      </c>
      <c r="BM119" s="26">
        <f t="shared" si="343"/>
        <v>-865911.25213066919</v>
      </c>
      <c r="BN119" s="26">
        <f t="shared" si="344"/>
        <v>-1717006.9647468794</v>
      </c>
      <c r="BO119" s="26">
        <f t="shared" si="345"/>
        <v>-2565562.0590091441</v>
      </c>
      <c r="BP119" s="26">
        <f t="shared" si="346"/>
        <v>-3419287.4631679826</v>
      </c>
      <c r="BQ119" s="26">
        <f t="shared" si="347"/>
        <v>-4287786.8645530893</v>
      </c>
      <c r="BR119" s="26">
        <f t="shared" si="348"/>
        <v>-5182715.6394084562</v>
      </c>
      <c r="BS119" s="26">
        <f t="shared" si="349"/>
        <v>-6118002.6883454639</v>
      </c>
      <c r="BT119" s="26">
        <f t="shared" si="350"/>
        <v>-7110151.1447742851</v>
      </c>
      <c r="BU119" s="26">
        <f t="shared" si="351"/>
        <v>-8178636.6110849082</v>
      </c>
      <c r="BV119" s="26">
        <f t="shared" si="352"/>
        <v>-9346425.2904403061</v>
      </c>
      <c r="BW119" s="26">
        <f t="shared" si="354"/>
        <v>-10640639.230599135</v>
      </c>
      <c r="BX119" s="26">
        <f t="shared" si="355"/>
        <v>-11980020.405253222</v>
      </c>
      <c r="BY119" s="26">
        <f t="shared" si="356"/>
        <v>-13365847.388357388</v>
      </c>
      <c r="BZ119" s="26">
        <f t="shared" si="357"/>
        <v>-14799609.823987812</v>
      </c>
      <c r="CA119" s="26">
        <f t="shared" si="358"/>
        <v>-16282987.38150749</v>
      </c>
      <c r="CB119" s="26">
        <f t="shared" si="359"/>
        <v>-17817837.81703572</v>
      </c>
      <c r="CC119" s="26">
        <f t="shared" si="360"/>
        <v>-19406191.988329731</v>
      </c>
      <c r="CD119" s="26">
        <f t="shared" si="361"/>
        <v>-21050254.041428622</v>
      </c>
      <c r="CE119" s="26">
        <f t="shared" si="362"/>
        <v>-22752405.167735495</v>
      </c>
      <c r="CF119" s="26">
        <f t="shared" si="363"/>
        <v>-24515209.322753206</v>
      </c>
      <c r="CG119" s="26">
        <f t="shared" si="364"/>
        <v>-26341419.08850361</v>
      </c>
      <c r="CH119" s="26">
        <f t="shared" si="365"/>
        <v>-28233979.418044705</v>
      </c>
      <c r="CI119" s="26">
        <f t="shared" si="366"/>
        <v>-30196026.267717212</v>
      </c>
      <c r="CJ119" s="26">
        <f t="shared" si="367"/>
        <v>-32230876.018927157</v>
      </c>
      <c r="CK119" s="26">
        <f t="shared" si="368"/>
        <v>-34342000</v>
      </c>
      <c r="CM119" s="47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14">
        <f t="shared" si="369"/>
        <v>0.75471858151374849</v>
      </c>
      <c r="DD119" s="14">
        <f t="shared" si="370"/>
        <v>0.75471858151374849</v>
      </c>
      <c r="DE119" s="14">
        <f t="shared" si="371"/>
        <v>0.75471858151374849</v>
      </c>
      <c r="DF119" s="14">
        <f t="shared" si="372"/>
        <v>0.75471858151374849</v>
      </c>
      <c r="DG119" s="14">
        <f t="shared" si="373"/>
        <v>0.75471858151374849</v>
      </c>
      <c r="DH119" s="14">
        <f t="shared" si="374"/>
        <v>0.75471858151374849</v>
      </c>
      <c r="DI119" s="14">
        <f t="shared" si="375"/>
        <v>0.75471858151374849</v>
      </c>
      <c r="DJ119" s="14">
        <f t="shared" si="376"/>
        <v>0.75471858151374849</v>
      </c>
      <c r="DK119" s="14">
        <f t="shared" si="377"/>
        <v>0.75471858151374849</v>
      </c>
      <c r="DL119" s="14">
        <f t="shared" si="378"/>
        <v>0.75471858151374849</v>
      </c>
      <c r="DM119" s="14">
        <f t="shared" si="379"/>
        <v>0.75471858151374849</v>
      </c>
      <c r="DN119" s="14">
        <f t="shared" si="380"/>
        <v>0.75471858151374849</v>
      </c>
      <c r="DO119" s="14">
        <f t="shared" si="381"/>
        <v>0.75471858151374849</v>
      </c>
      <c r="DP119" s="14">
        <f t="shared" si="382"/>
        <v>0.75471858151374849</v>
      </c>
      <c r="DQ119" s="14">
        <f t="shared" si="383"/>
        <v>0.75471858151374849</v>
      </c>
      <c r="DR119" s="14">
        <f t="shared" si="384"/>
        <v>0.75471858151374849</v>
      </c>
      <c r="DS119" s="14">
        <f t="shared" si="385"/>
        <v>0.75471858151374849</v>
      </c>
      <c r="DT119" s="14">
        <f t="shared" si="386"/>
        <v>0.75471858151374849</v>
      </c>
      <c r="DU119" s="14">
        <f t="shared" si="387"/>
        <v>0.75471858151374849</v>
      </c>
      <c r="DV119" s="14">
        <f t="shared" si="388"/>
        <v>0.75471858151374849</v>
      </c>
      <c r="DW119" s="14">
        <f t="shared" si="389"/>
        <v>0.75471858151374849</v>
      </c>
      <c r="DX119" s="14">
        <f t="shared" si="390"/>
        <v>0.75471858151374849</v>
      </c>
      <c r="DY119" s="14">
        <f t="shared" si="391"/>
        <v>0.75471858151374849</v>
      </c>
      <c r="DZ119" s="14">
        <f t="shared" si="392"/>
        <v>0.75471858151374849</v>
      </c>
      <c r="EA119" s="14">
        <f t="shared" si="393"/>
        <v>0.75471858151374849</v>
      </c>
      <c r="EB119" s="14">
        <f t="shared" si="394"/>
        <v>0.75471858151374849</v>
      </c>
      <c r="ED119" s="47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14">
        <f t="shared" si="320"/>
        <v>2.9701803462621849E-3</v>
      </c>
      <c r="EU119" s="14">
        <f t="shared" si="321"/>
        <v>0.64870362988401797</v>
      </c>
      <c r="EV119" s="14">
        <f t="shared" si="322"/>
        <v>1.2915893187973846</v>
      </c>
      <c r="EW119" s="14">
        <f t="shared" si="323"/>
        <v>1.9356278146258461</v>
      </c>
      <c r="EX119" s="14">
        <f t="shared" si="324"/>
        <v>2.5857553881464881</v>
      </c>
      <c r="EY119" s="14">
        <f t="shared" si="325"/>
        <v>3.2478745081858298</v>
      </c>
      <c r="EZ119" s="14">
        <f t="shared" si="326"/>
        <v>3.9288929002510313</v>
      </c>
      <c r="FA119" s="14">
        <f t="shared" si="327"/>
        <v>4.6367749876148112</v>
      </c>
      <c r="FB119" s="14">
        <f t="shared" si="328"/>
        <v>5.3806091088554941</v>
      </c>
      <c r="FC119" s="14">
        <f t="shared" si="329"/>
        <v>6.1706936160178927</v>
      </c>
      <c r="FD119" s="14">
        <f t="shared" si="330"/>
        <v>7.0186447461097652</v>
      </c>
      <c r="FE119" s="14">
        <f t="shared" si="395"/>
        <v>7.9375289621373692</v>
      </c>
      <c r="FF119" s="14">
        <f t="shared" si="396"/>
        <v>8.8894739247898986</v>
      </c>
      <c r="FG119" s="14">
        <f t="shared" si="397"/>
        <v>9.8748947022554265</v>
      </c>
      <c r="FH119" s="14">
        <f t="shared" si="398"/>
        <v>10.89431973794148</v>
      </c>
      <c r="FI119" s="14">
        <f t="shared" si="399"/>
        <v>11.948360928194301</v>
      </c>
      <c r="FJ119" s="14">
        <f t="shared" si="400"/>
        <v>13.037686257439452</v>
      </c>
      <c r="FK119" s="14">
        <f t="shared" si="401"/>
        <v>14.162993236571188</v>
      </c>
      <c r="FL119" s="14">
        <f t="shared" si="402"/>
        <v>15.324981417442961</v>
      </c>
      <c r="FM119" s="14">
        <f t="shared" si="403"/>
        <v>16.524322172280201</v>
      </c>
      <c r="FN119" s="14">
        <f t="shared" si="404"/>
        <v>17.761623725149068</v>
      </c>
      <c r="FO119" s="14">
        <f t="shared" si="405"/>
        <v>19.037389088875781</v>
      </c>
      <c r="FP119" s="14">
        <f t="shared" si="406"/>
        <v>20.351964071813963</v>
      </c>
      <c r="FQ119" s="14">
        <f t="shared" si="407"/>
        <v>21.705471840970308</v>
      </c>
      <c r="FR119" s="14">
        <f t="shared" si="408"/>
        <v>23.097729614846042</v>
      </c>
      <c r="FS119" s="14">
        <f t="shared" si="409"/>
        <v>24.52814184862514</v>
      </c>
    </row>
    <row r="120" spans="5:175" ht="15" customHeight="1" x14ac:dyDescent="0.25">
      <c r="E120" s="46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>
        <f t="shared" si="331"/>
        <v>0.34541137837214902</v>
      </c>
      <c r="V120" s="14">
        <f t="shared" si="332"/>
        <v>2.7810238012222315</v>
      </c>
      <c r="W120" s="14">
        <f t="shared" si="333"/>
        <v>5.1520361569706221</v>
      </c>
      <c r="X120" s="14">
        <f t="shared" si="334"/>
        <v>7.4733800408945772</v>
      </c>
      <c r="Y120" s="14">
        <f t="shared" si="335"/>
        <v>9.763894082027587</v>
      </c>
      <c r="Z120" s="14">
        <f t="shared" si="336"/>
        <v>12.046155927731135</v>
      </c>
      <c r="AA120" s="14">
        <f t="shared" si="337"/>
        <v>14.346477334936251</v>
      </c>
      <c r="AB120" s="14">
        <f t="shared" si="338"/>
        <v>16.694994480479131</v>
      </c>
      <c r="AC120" s="14">
        <f t="shared" si="339"/>
        <v>19.125864544901791</v>
      </c>
      <c r="AD120" s="14">
        <f t="shared" si="340"/>
        <v>21.677582763663757</v>
      </c>
      <c r="AE120" s="14">
        <f t="shared" si="341"/>
        <v>24.393438312157365</v>
      </c>
      <c r="AF120" s="14">
        <f t="shared" si="410"/>
        <v>30.260981195825728</v>
      </c>
      <c r="AG120" s="14">
        <f t="shared" si="411"/>
        <v>34.121760815777982</v>
      </c>
      <c r="AH120" s="14">
        <f t="shared" si="412"/>
        <v>38.112715561998755</v>
      </c>
      <c r="AI120" s="14">
        <f t="shared" si="413"/>
        <v>42.238019044295633</v>
      </c>
      <c r="AJ120" s="14">
        <f t="shared" si="414"/>
        <v>46.502092912925988</v>
      </c>
      <c r="AK120" s="14">
        <f t="shared" si="415"/>
        <v>50.909602937574164</v>
      </c>
      <c r="AL120" s="14">
        <f t="shared" si="416"/>
        <v>55.465460195197181</v>
      </c>
      <c r="AM120" s="14">
        <f t="shared" si="417"/>
        <v>60.174826524929685</v>
      </c>
      <c r="AN120" s="14">
        <f t="shared" si="418"/>
        <v>65.043123570205438</v>
      </c>
      <c r="AO120" s="14">
        <f t="shared" si="419"/>
        <v>70.076044807636066</v>
      </c>
      <c r="AP120" s="14">
        <f t="shared" si="420"/>
        <v>75.279569956554582</v>
      </c>
      <c r="AQ120" s="14">
        <f t="shared" si="421"/>
        <v>80.659981062031505</v>
      </c>
      <c r="AR120" s="14">
        <f t="shared" si="422"/>
        <v>86.223879327900335</v>
      </c>
      <c r="AS120" s="14">
        <f t="shared" si="423"/>
        <v>91.978201413932027</v>
      </c>
      <c r="AT120" s="33">
        <v>100</v>
      </c>
      <c r="AV120" s="47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6">
        <f t="shared" si="342"/>
        <v>-4859.2202360145002</v>
      </c>
      <c r="BM120" s="26">
        <f t="shared" si="343"/>
        <v>-891528.46891833621</v>
      </c>
      <c r="BN120" s="26">
        <f t="shared" si="344"/>
        <v>-1772770.4236841737</v>
      </c>
      <c r="BO120" s="26">
        <f t="shared" si="345"/>
        <v>-2654307.8022294785</v>
      </c>
      <c r="BP120" s="26">
        <f t="shared" si="346"/>
        <v>-3543345.715214788</v>
      </c>
      <c r="BQ120" s="26">
        <f t="shared" si="347"/>
        <v>-4448634.5026152153</v>
      </c>
      <c r="BR120" s="26">
        <f t="shared" si="348"/>
        <v>-5380554.8817466544</v>
      </c>
      <c r="BS120" s="26">
        <f t="shared" si="349"/>
        <v>-6351232.8249933124</v>
      </c>
      <c r="BT120" s="26">
        <f t="shared" si="350"/>
        <v>-7374691.3315032972</v>
      </c>
      <c r="BU120" s="26">
        <f t="shared" si="351"/>
        <v>-8467046.2910795845</v>
      </c>
      <c r="BV120" s="26">
        <f t="shared" si="352"/>
        <v>-9646753.8709665146</v>
      </c>
      <c r="BW120" s="26">
        <f t="shared" si="354"/>
        <v>-10934917.184667204</v>
      </c>
      <c r="BX120" s="26">
        <f t="shared" si="355"/>
        <v>-12269441.43143045</v>
      </c>
      <c r="BY120" s="26">
        <f t="shared" si="356"/>
        <v>-13651066.01584582</v>
      </c>
      <c r="BZ120" s="26">
        <f t="shared" si="357"/>
        <v>-15080734.993126225</v>
      </c>
      <c r="CA120" s="26">
        <f t="shared" si="358"/>
        <v>-16559555.273880124</v>
      </c>
      <c r="CB120" s="26">
        <f t="shared" si="359"/>
        <v>-18088761.464351397</v>
      </c>
      <c r="CC120" s="26">
        <f t="shared" si="360"/>
        <v>-19669684.453537237</v>
      </c>
      <c r="CD120" s="26">
        <f t="shared" si="361"/>
        <v>-21303721.028800286</v>
      </c>
      <c r="CE120" s="26">
        <f t="shared" si="362"/>
        <v>-22992301.764267653</v>
      </c>
      <c r="CF120" s="26">
        <f t="shared" si="363"/>
        <v>-24736854.173517026</v>
      </c>
      <c r="CG120" s="26">
        <f t="shared" si="364"/>
        <v>-26538757.62586375</v>
      </c>
      <c r="CH120" s="26">
        <f t="shared" si="365"/>
        <v>-28399285.752101868</v>
      </c>
      <c r="CI120" s="26">
        <f t="shared" si="366"/>
        <v>-30319530.947707064</v>
      </c>
      <c r="CJ120" s="26">
        <f t="shared" si="367"/>
        <v>-32300304.030130446</v>
      </c>
      <c r="CK120" s="26">
        <f t="shared" si="368"/>
        <v>-34342000</v>
      </c>
      <c r="CM120" s="47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14">
        <f t="shared" si="369"/>
        <v>0.76043067036063439</v>
      </c>
      <c r="DD120" s="14">
        <f t="shared" si="370"/>
        <v>0.76043067036063439</v>
      </c>
      <c r="DE120" s="14">
        <f t="shared" si="371"/>
        <v>0.76043067036063439</v>
      </c>
      <c r="DF120" s="14">
        <f t="shared" si="372"/>
        <v>0.76043067036063439</v>
      </c>
      <c r="DG120" s="14">
        <f t="shared" si="373"/>
        <v>0.76043067036063439</v>
      </c>
      <c r="DH120" s="14">
        <f t="shared" si="374"/>
        <v>0.76043067036063439</v>
      </c>
      <c r="DI120" s="14">
        <f t="shared" si="375"/>
        <v>0.76043067036063439</v>
      </c>
      <c r="DJ120" s="14">
        <f t="shared" si="376"/>
        <v>0.76043067036063439</v>
      </c>
      <c r="DK120" s="14">
        <f t="shared" si="377"/>
        <v>0.76043067036063439</v>
      </c>
      <c r="DL120" s="14">
        <f t="shared" si="378"/>
        <v>0.76043067036063439</v>
      </c>
      <c r="DM120" s="14">
        <f t="shared" si="379"/>
        <v>0.76043067036063439</v>
      </c>
      <c r="DN120" s="14">
        <f t="shared" si="380"/>
        <v>0.76043067036063439</v>
      </c>
      <c r="DO120" s="14">
        <f t="shared" si="381"/>
        <v>0.76043067036063439</v>
      </c>
      <c r="DP120" s="14">
        <f t="shared" si="382"/>
        <v>0.76043067036063439</v>
      </c>
      <c r="DQ120" s="14">
        <f t="shared" si="383"/>
        <v>0.76043067036063439</v>
      </c>
      <c r="DR120" s="14">
        <f t="shared" si="384"/>
        <v>0.76043067036063439</v>
      </c>
      <c r="DS120" s="14">
        <f t="shared" si="385"/>
        <v>0.76043067036063439</v>
      </c>
      <c r="DT120" s="14">
        <f t="shared" si="386"/>
        <v>0.76043067036063439</v>
      </c>
      <c r="DU120" s="14">
        <f t="shared" si="387"/>
        <v>0.76043067036063439</v>
      </c>
      <c r="DV120" s="14">
        <f t="shared" si="388"/>
        <v>0.76043067036063439</v>
      </c>
      <c r="DW120" s="14">
        <f t="shared" si="389"/>
        <v>0.76043067036063439</v>
      </c>
      <c r="DX120" s="14">
        <f t="shared" si="390"/>
        <v>0.76043067036063439</v>
      </c>
      <c r="DY120" s="14">
        <f t="shared" si="391"/>
        <v>0.76043067036063439</v>
      </c>
      <c r="DZ120" s="14">
        <f t="shared" si="392"/>
        <v>0.76043067036063439</v>
      </c>
      <c r="EA120" s="14">
        <f t="shared" si="393"/>
        <v>0.76043067036063439</v>
      </c>
      <c r="EB120" s="14">
        <f t="shared" si="394"/>
        <v>0.76043067036063439</v>
      </c>
      <c r="ED120" s="47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14">
        <f t="shared" si="320"/>
        <v>2.3567517606248446E-3</v>
      </c>
      <c r="EU120" s="14">
        <f t="shared" si="321"/>
        <v>0.64412967796928389</v>
      </c>
      <c r="EV120" s="14">
        <f t="shared" si="322"/>
        <v>1.2842360580895762</v>
      </c>
      <c r="EW120" s="14">
        <f t="shared" si="323"/>
        <v>1.9265018987487779</v>
      </c>
      <c r="EX120" s="14">
        <f t="shared" si="324"/>
        <v>2.5755496035014152</v>
      </c>
      <c r="EY120" s="14">
        <f t="shared" si="325"/>
        <v>3.2368109500109843</v>
      </c>
      <c r="EZ120" s="14">
        <f t="shared" si="326"/>
        <v>3.9165393078417092</v>
      </c>
      <c r="FA120" s="14">
        <f t="shared" si="327"/>
        <v>4.6218226148029906</v>
      </c>
      <c r="FB120" s="14">
        <f t="shared" si="328"/>
        <v>5.3605976369087207</v>
      </c>
      <c r="FC120" s="14">
        <f t="shared" si="329"/>
        <v>6.1416649844719293</v>
      </c>
      <c r="FD120" s="14">
        <f t="shared" si="330"/>
        <v>6.9747031530287327</v>
      </c>
      <c r="FE120" s="14">
        <f t="shared" si="395"/>
        <v>7.8702783913006353</v>
      </c>
      <c r="FF120" s="14">
        <f t="shared" si="396"/>
        <v>8.7984233954895128</v>
      </c>
      <c r="FG120" s="14">
        <f t="shared" si="397"/>
        <v>9.7593700765557685</v>
      </c>
      <c r="FH120" s="14">
        <f t="shared" si="398"/>
        <v>10.75344806230172</v>
      </c>
      <c r="FI120" s="14">
        <f t="shared" si="399"/>
        <v>11.781050285467167</v>
      </c>
      <c r="FJ120" s="14">
        <f t="shared" si="400"/>
        <v>12.842599695151282</v>
      </c>
      <c r="FK120" s="14">
        <f t="shared" si="401"/>
        <v>13.938515302832357</v>
      </c>
      <c r="FL120" s="14">
        <f t="shared" si="402"/>
        <v>15.069175717716117</v>
      </c>
      <c r="FM120" s="14">
        <f t="shared" si="403"/>
        <v>16.234878169944984</v>
      </c>
      <c r="FN120" s="14">
        <f t="shared" si="404"/>
        <v>17.435790754821397</v>
      </c>
      <c r="FO120" s="14">
        <f t="shared" si="405"/>
        <v>18.671895241030811</v>
      </c>
      <c r="FP120" s="14">
        <f t="shared" si="406"/>
        <v>19.942917248282605</v>
      </c>
      <c r="FQ120" s="14">
        <f t="shared" si="407"/>
        <v>21.248239883872621</v>
      </c>
      <c r="FR120" s="14">
        <f t="shared" si="408"/>
        <v>22.586795992329534</v>
      </c>
      <c r="FS120" s="14">
        <f t="shared" si="409"/>
        <v>23.956932963936566</v>
      </c>
    </row>
    <row r="121" spans="5:175" ht="15" customHeight="1" x14ac:dyDescent="0.25">
      <c r="E121" s="46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>
        <f t="shared" si="331"/>
        <v>0.26798972768439083</v>
      </c>
      <c r="V121" s="14">
        <f t="shared" si="332"/>
        <v>2.767740881143268</v>
      </c>
      <c r="W121" s="14">
        <f t="shared" si="333"/>
        <v>5.2168836945268833</v>
      </c>
      <c r="X121" s="14">
        <f t="shared" si="334"/>
        <v>7.6305290302345465</v>
      </c>
      <c r="Y121" s="14">
        <f t="shared" si="335"/>
        <v>10.027476208089467</v>
      </c>
      <c r="Z121" s="14">
        <f t="shared" si="336"/>
        <v>12.430085003646489</v>
      </c>
      <c r="AA121" s="14">
        <f t="shared" si="337"/>
        <v>14.864266752401221</v>
      </c>
      <c r="AB121" s="14">
        <f t="shared" si="338"/>
        <v>17.359542411308514</v>
      </c>
      <c r="AC121" s="14">
        <f t="shared" si="339"/>
        <v>19.949175002040331</v>
      </c>
      <c r="AD121" s="14">
        <f t="shared" si="340"/>
        <v>22.67038488650326</v>
      </c>
      <c r="AE121" s="14">
        <f t="shared" si="341"/>
        <v>25.564657898606061</v>
      </c>
      <c r="AF121" s="14">
        <f t="shared" si="410"/>
        <v>30.942199076560303</v>
      </c>
      <c r="AG121" s="14">
        <f t="shared" si="411"/>
        <v>34.805060890656257</v>
      </c>
      <c r="AH121" s="14">
        <f t="shared" si="412"/>
        <v>38.799626640727709</v>
      </c>
      <c r="AI121" s="14">
        <f t="shared" si="413"/>
        <v>42.92931024281058</v>
      </c>
      <c r="AJ121" s="14">
        <f t="shared" si="414"/>
        <v>47.197759436734984</v>
      </c>
      <c r="AK121" s="14">
        <f t="shared" si="415"/>
        <v>51.608817735688525</v>
      </c>
      <c r="AL121" s="14">
        <f t="shared" si="416"/>
        <v>56.166488504475545</v>
      </c>
      <c r="AM121" s="14">
        <f t="shared" si="417"/>
        <v>60.87489876756031</v>
      </c>
      <c r="AN121" s="14">
        <f t="shared" si="418"/>
        <v>65.738260276635373</v>
      </c>
      <c r="AO121" s="14">
        <f t="shared" si="419"/>
        <v>70.760825142510015</v>
      </c>
      <c r="AP121" s="14">
        <f t="shared" si="420"/>
        <v>75.946832941121059</v>
      </c>
      <c r="AQ121" s="14">
        <f t="shared" si="421"/>
        <v>81.300445611060979</v>
      </c>
      <c r="AR121" s="14">
        <f t="shared" si="422"/>
        <v>86.825665630018094</v>
      </c>
      <c r="AS121" s="14">
        <f t="shared" si="423"/>
        <v>92.526231834238757</v>
      </c>
      <c r="AT121" s="33">
        <v>100</v>
      </c>
      <c r="AV121" s="47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6">
        <f t="shared" si="342"/>
        <v>-3770.0585138367505</v>
      </c>
      <c r="BM121" s="26">
        <f t="shared" si="343"/>
        <v>-913108.12916993233</v>
      </c>
      <c r="BN121" s="26">
        <f t="shared" si="344"/>
        <v>-1819252.0995926321</v>
      </c>
      <c r="BO121" s="26">
        <f t="shared" si="345"/>
        <v>-2727759.8504820871</v>
      </c>
      <c r="BP121" s="26">
        <f t="shared" si="346"/>
        <v>-3645432.6073230305</v>
      </c>
      <c r="BQ121" s="26">
        <f t="shared" si="347"/>
        <v>-4580344.4269275256</v>
      </c>
      <c r="BR121" s="26">
        <f t="shared" si="348"/>
        <v>-5541875.9638810745</v>
      </c>
      <c r="BS121" s="26">
        <f t="shared" si="349"/>
        <v>-6540755.6624688106</v>
      </c>
      <c r="BT121" s="26">
        <f t="shared" si="350"/>
        <v>-7589110.1896322127</v>
      </c>
      <c r="BU121" s="26">
        <f t="shared" si="351"/>
        <v>-8700524.5317638721</v>
      </c>
      <c r="BV121" s="26">
        <f t="shared" si="352"/>
        <v>-9890110.5736061614</v>
      </c>
      <c r="BW121" s="26">
        <f t="shared" si="354"/>
        <v>-11174580.977944801</v>
      </c>
      <c r="BX121" s="26">
        <f t="shared" si="355"/>
        <v>-12505900.958324658</v>
      </c>
      <c r="BY121" s="26">
        <f t="shared" si="356"/>
        <v>-13884475.099059364</v>
      </c>
      <c r="BZ121" s="26">
        <f t="shared" si="357"/>
        <v>-15310880.924167732</v>
      </c>
      <c r="CA121" s="26">
        <f t="shared" si="358"/>
        <v>-16785818.077789474</v>
      </c>
      <c r="CB121" s="26">
        <f t="shared" si="359"/>
        <v>-18310061.077224243</v>
      </c>
      <c r="CC121" s="26">
        <f t="shared" si="360"/>
        <v>-19884412.718697041</v>
      </c>
      <c r="CD121" s="26">
        <f t="shared" si="361"/>
        <v>-21509655.209263224</v>
      </c>
      <c r="CE121" s="26">
        <f t="shared" si="362"/>
        <v>-23186495.911942691</v>
      </c>
      <c r="CF121" s="26">
        <f t="shared" si="363"/>
        <v>-24915504.211391672</v>
      </c>
      <c r="CG121" s="26">
        <f t="shared" si="364"/>
        <v>-26697035.408337016</v>
      </c>
      <c r="CH121" s="26">
        <f t="shared" si="365"/>
        <v>-28531136.693021871</v>
      </c>
      <c r="CI121" s="26">
        <f t="shared" si="366"/>
        <v>-30417429.07512806</v>
      </c>
      <c r="CJ121" s="26">
        <f t="shared" si="367"/>
        <v>-32354957.584210806</v>
      </c>
      <c r="CK121" s="26">
        <f t="shared" si="368"/>
        <v>-34342000</v>
      </c>
      <c r="CM121" s="47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14">
        <f t="shared" si="369"/>
        <v>0.77038358516019534</v>
      </c>
      <c r="DD121" s="14">
        <f t="shared" si="370"/>
        <v>0.77038358516019534</v>
      </c>
      <c r="DE121" s="14">
        <f t="shared" si="371"/>
        <v>0.77038358516019534</v>
      </c>
      <c r="DF121" s="14">
        <f t="shared" si="372"/>
        <v>0.77038358516019534</v>
      </c>
      <c r="DG121" s="14">
        <f t="shared" si="373"/>
        <v>0.77038358516019534</v>
      </c>
      <c r="DH121" s="14">
        <f t="shared" si="374"/>
        <v>0.77038358516019534</v>
      </c>
      <c r="DI121" s="14">
        <f t="shared" si="375"/>
        <v>0.77038358516019534</v>
      </c>
      <c r="DJ121" s="14">
        <f t="shared" si="376"/>
        <v>0.77038358516019534</v>
      </c>
      <c r="DK121" s="14">
        <f t="shared" si="377"/>
        <v>0.77038358516019534</v>
      </c>
      <c r="DL121" s="14">
        <f t="shared" si="378"/>
        <v>0.77038358516019534</v>
      </c>
      <c r="DM121" s="14">
        <f t="shared" si="379"/>
        <v>0.77038358516019534</v>
      </c>
      <c r="DN121" s="14">
        <f t="shared" si="380"/>
        <v>0.77038358516019534</v>
      </c>
      <c r="DO121" s="14">
        <f t="shared" si="381"/>
        <v>0.77038358516019534</v>
      </c>
      <c r="DP121" s="14">
        <f t="shared" si="382"/>
        <v>0.77038358516019534</v>
      </c>
      <c r="DQ121" s="14">
        <f t="shared" si="383"/>
        <v>0.77038358516019534</v>
      </c>
      <c r="DR121" s="14">
        <f t="shared" si="384"/>
        <v>0.77038358516019534</v>
      </c>
      <c r="DS121" s="14">
        <f t="shared" si="385"/>
        <v>0.77038358516019534</v>
      </c>
      <c r="DT121" s="14">
        <f t="shared" si="386"/>
        <v>0.77038358516019534</v>
      </c>
      <c r="DU121" s="14">
        <f t="shared" si="387"/>
        <v>0.77038358516019534</v>
      </c>
      <c r="DV121" s="14">
        <f t="shared" si="388"/>
        <v>0.77038358516019534</v>
      </c>
      <c r="DW121" s="14">
        <f t="shared" si="389"/>
        <v>0.77038358516019534</v>
      </c>
      <c r="DX121" s="14">
        <f t="shared" si="390"/>
        <v>0.77038358516019534</v>
      </c>
      <c r="DY121" s="14">
        <f t="shared" si="391"/>
        <v>0.77038358516019534</v>
      </c>
      <c r="DZ121" s="14">
        <f t="shared" si="392"/>
        <v>0.77038358516019534</v>
      </c>
      <c r="EA121" s="14">
        <f t="shared" si="393"/>
        <v>0.77038358516019534</v>
      </c>
      <c r="EB121" s="14">
        <f t="shared" si="394"/>
        <v>0.77038358516019534</v>
      </c>
      <c r="ED121" s="47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14">
        <f t="shared" si="320"/>
        <v>1.8904716589299242E-3</v>
      </c>
      <c r="EU121" s="14">
        <f t="shared" si="321"/>
        <v>0.62528579474185075</v>
      </c>
      <c r="EV121" s="14">
        <f t="shared" si="322"/>
        <v>1.2478396090449007</v>
      </c>
      <c r="EW121" s="14">
        <f t="shared" si="323"/>
        <v>1.8731597210655351</v>
      </c>
      <c r="EX121" s="14">
        <f t="shared" si="324"/>
        <v>2.5055324800526413</v>
      </c>
      <c r="EY121" s="14">
        <f t="shared" si="325"/>
        <v>3.1499242126422393</v>
      </c>
      <c r="EZ121" s="14">
        <f t="shared" si="326"/>
        <v>3.811976108693548</v>
      </c>
      <c r="FA121" s="14">
        <f t="shared" si="327"/>
        <v>4.4979927092073284</v>
      </c>
      <c r="FB121" s="14">
        <f t="shared" si="328"/>
        <v>5.2149229046506216</v>
      </c>
      <c r="FC121" s="14">
        <f t="shared" si="329"/>
        <v>5.9703309594251204</v>
      </c>
      <c r="FD121" s="14">
        <f t="shared" si="330"/>
        <v>6.7723534373022076</v>
      </c>
      <c r="FE121" s="14">
        <f t="shared" si="395"/>
        <v>7.6296358924548242</v>
      </c>
      <c r="FF121" s="14">
        <f t="shared" si="396"/>
        <v>8.5182164614185432</v>
      </c>
      <c r="FG121" s="14">
        <f t="shared" si="397"/>
        <v>9.4382161858843396</v>
      </c>
      <c r="FH121" s="14">
        <f t="shared" si="398"/>
        <v>10.389833701401502</v>
      </c>
      <c r="FI121" s="14">
        <f t="shared" si="399"/>
        <v>11.373310381022552</v>
      </c>
      <c r="FJ121" s="14">
        <f t="shared" si="400"/>
        <v>12.388895305558131</v>
      </c>
      <c r="FK121" s="14">
        <f t="shared" si="401"/>
        <v>13.436808426739432</v>
      </c>
      <c r="FL121" s="14">
        <f t="shared" si="402"/>
        <v>14.517200172892156</v>
      </c>
      <c r="FM121" s="14">
        <f t="shared" si="403"/>
        <v>15.630105550602902</v>
      </c>
      <c r="FN121" s="14">
        <f t="shared" si="404"/>
        <v>16.77539050975685</v>
      </c>
      <c r="FO121" s="14">
        <f t="shared" si="405"/>
        <v>17.952687948672814</v>
      </c>
      <c r="FP121" s="14">
        <f t="shared" si="406"/>
        <v>19.161320221539693</v>
      </c>
      <c r="FQ121" s="14">
        <f t="shared" si="407"/>
        <v>20.400204346970181</v>
      </c>
      <c r="FR121" s="14">
        <f t="shared" si="408"/>
        <v>21.66773527238724</v>
      </c>
      <c r="FS121" s="14">
        <f t="shared" si="409"/>
        <v>22.961641483980451</v>
      </c>
    </row>
    <row r="122" spans="5:175" ht="15" customHeight="1" x14ac:dyDescent="0.25">
      <c r="E122" s="46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14">
        <f t="shared" si="331"/>
        <v>0.21252404062039806</v>
      </c>
      <c r="V122" s="14">
        <f t="shared" si="332"/>
        <v>2.7637588178385055</v>
      </c>
      <c r="W122" s="14">
        <f t="shared" si="333"/>
        <v>5.2748481720786158</v>
      </c>
      <c r="X122" s="14">
        <f t="shared" si="334"/>
        <v>7.7609905641220447</v>
      </c>
      <c r="Y122" s="14">
        <f t="shared" si="335"/>
        <v>10.240860143121264</v>
      </c>
      <c r="Z122" s="14">
        <f t="shared" si="336"/>
        <v>12.736500488771982</v>
      </c>
      <c r="AA122" s="14">
        <f t="shared" si="337"/>
        <v>15.273302568928022</v>
      </c>
      <c r="AB122" s="14">
        <f t="shared" si="338"/>
        <v>17.880025265626148</v>
      </c>
      <c r="AC122" s="14">
        <f t="shared" si="339"/>
        <v>20.588862446633719</v>
      </c>
      <c r="AD122" s="14">
        <f t="shared" si="340"/>
        <v>23.43555990634751</v>
      </c>
      <c r="AE122" s="14">
        <f t="shared" si="341"/>
        <v>26.4595850079237</v>
      </c>
      <c r="AF122" s="14">
        <f t="shared" si="410"/>
        <v>31.486996317724618</v>
      </c>
      <c r="AG122" s="14">
        <f t="shared" si="411"/>
        <v>35.35076222243616</v>
      </c>
      <c r="AH122" s="14">
        <f t="shared" si="412"/>
        <v>39.347257292068448</v>
      </c>
      <c r="AI122" s="14">
        <f t="shared" si="413"/>
        <v>43.479283729738043</v>
      </c>
      <c r="AJ122" s="14">
        <f t="shared" si="414"/>
        <v>47.749852942627086</v>
      </c>
      <c r="AK122" s="14">
        <f t="shared" si="415"/>
        <v>52.16212186454068</v>
      </c>
      <c r="AL122" s="14">
        <f t="shared" si="416"/>
        <v>56.719328446467827</v>
      </c>
      <c r="AM122" s="14">
        <f t="shared" si="417"/>
        <v>61.424722882203952</v>
      </c>
      <c r="AN122" s="14">
        <f t="shared" si="418"/>
        <v>66.281490871687069</v>
      </c>
      <c r="AO122" s="14">
        <f t="shared" si="419"/>
        <v>71.292664770679764</v>
      </c>
      <c r="AP122" s="14">
        <f t="shared" si="420"/>
        <v>76.461017806359877</v>
      </c>
      <c r="AQ122" s="14">
        <f t="shared" si="421"/>
        <v>81.788935617485663</v>
      </c>
      <c r="AR122" s="14">
        <f t="shared" si="422"/>
        <v>87.278258154905203</v>
      </c>
      <c r="AS122" s="14">
        <f t="shared" si="423"/>
        <v>92.930083386959268</v>
      </c>
      <c r="AT122" s="33">
        <v>100</v>
      </c>
      <c r="AV122" s="47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6">
        <f t="shared" si="342"/>
        <v>-2989.7715694517897</v>
      </c>
      <c r="BM122" s="26">
        <f t="shared" si="343"/>
        <v>-930492.79308261513</v>
      </c>
      <c r="BN122" s="26">
        <f t="shared" si="344"/>
        <v>-1856403.6733328179</v>
      </c>
      <c r="BO122" s="26">
        <f t="shared" si="345"/>
        <v>-2786151.5727771809</v>
      </c>
      <c r="BP122" s="26">
        <f t="shared" si="346"/>
        <v>-3726225.3251082785</v>
      </c>
      <c r="BQ122" s="26">
        <f t="shared" si="347"/>
        <v>-4684179.9090459552</v>
      </c>
      <c r="BR122" s="26">
        <f t="shared" si="348"/>
        <v>-5668635.14749147</v>
      </c>
      <c r="BS122" s="26">
        <f t="shared" si="349"/>
        <v>-6689267.1695869798</v>
      </c>
      <c r="BT122" s="26">
        <f t="shared" si="350"/>
        <v>-7756791.3041172968</v>
      </c>
      <c r="BU122" s="26">
        <f t="shared" si="351"/>
        <v>-8882932.9751532078</v>
      </c>
      <c r="BV122" s="26">
        <f t="shared" si="352"/>
        <v>-10080380.682843907</v>
      </c>
      <c r="BW122" s="26">
        <f t="shared" si="354"/>
        <v>-11362712.075709175</v>
      </c>
      <c r="BX122" s="26">
        <f t="shared" si="355"/>
        <v>-12691981.618716445</v>
      </c>
      <c r="BY122" s="26">
        <f t="shared" si="356"/>
        <v>-14068392.207819793</v>
      </c>
      <c r="BZ122" s="26">
        <f t="shared" si="357"/>
        <v>-15492279.937775809</v>
      </c>
      <c r="CA122" s="26">
        <f t="shared" si="358"/>
        <v>-16964060.603984848</v>
      </c>
      <c r="CB122" s="26">
        <f t="shared" si="359"/>
        <v>-18484176.875435047</v>
      </c>
      <c r="CC122" s="26">
        <f t="shared" si="360"/>
        <v>-20053043.493992373</v>
      </c>
      <c r="CD122" s="26">
        <f t="shared" si="361"/>
        <v>-21670987.711083736</v>
      </c>
      <c r="CE122" s="26">
        <f t="shared" si="362"/>
        <v>-23338181.89108406</v>
      </c>
      <c r="CF122" s="26">
        <f t="shared" si="363"/>
        <v>-25054564.775131159</v>
      </c>
      <c r="CG122" s="26">
        <f t="shared" si="364"/>
        <v>-26819747.285762839</v>
      </c>
      <c r="CH122" s="26">
        <f t="shared" si="365"/>
        <v>-28632897.928932421</v>
      </c>
      <c r="CI122" s="26">
        <f t="shared" si="366"/>
        <v>-30492601.772249769</v>
      </c>
      <c r="CJ122" s="26">
        <f t="shared" si="367"/>
        <v>-32396685.590526134</v>
      </c>
      <c r="CK122" s="26">
        <f t="shared" si="368"/>
        <v>-34342000</v>
      </c>
      <c r="CM122" s="47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14">
        <f t="shared" si="369"/>
        <v>0.7873732042073639</v>
      </c>
      <c r="DD122" s="14">
        <f t="shared" si="370"/>
        <v>0.7873732042073639</v>
      </c>
      <c r="DE122" s="14">
        <f t="shared" si="371"/>
        <v>0.7873732042073639</v>
      </c>
      <c r="DF122" s="14">
        <f t="shared" si="372"/>
        <v>0.7873732042073639</v>
      </c>
      <c r="DG122" s="14">
        <f t="shared" si="373"/>
        <v>0.7873732042073639</v>
      </c>
      <c r="DH122" s="14">
        <f t="shared" si="374"/>
        <v>0.7873732042073639</v>
      </c>
      <c r="DI122" s="14">
        <f t="shared" si="375"/>
        <v>0.7873732042073639</v>
      </c>
      <c r="DJ122" s="14">
        <f t="shared" si="376"/>
        <v>0.7873732042073639</v>
      </c>
      <c r="DK122" s="14">
        <f t="shared" si="377"/>
        <v>0.7873732042073639</v>
      </c>
      <c r="DL122" s="14">
        <f t="shared" si="378"/>
        <v>0.7873732042073639</v>
      </c>
      <c r="DM122" s="14">
        <f t="shared" si="379"/>
        <v>0.7873732042073639</v>
      </c>
      <c r="DN122" s="14">
        <f t="shared" si="380"/>
        <v>0.7873732042073639</v>
      </c>
      <c r="DO122" s="14">
        <f t="shared" si="381"/>
        <v>0.7873732042073639</v>
      </c>
      <c r="DP122" s="14">
        <f t="shared" si="382"/>
        <v>0.7873732042073639</v>
      </c>
      <c r="DQ122" s="14">
        <f t="shared" si="383"/>
        <v>0.7873732042073639</v>
      </c>
      <c r="DR122" s="14">
        <f t="shared" si="384"/>
        <v>0.7873732042073639</v>
      </c>
      <c r="DS122" s="14">
        <f t="shared" si="385"/>
        <v>0.7873732042073639</v>
      </c>
      <c r="DT122" s="14">
        <f t="shared" si="386"/>
        <v>0.7873732042073639</v>
      </c>
      <c r="DU122" s="14">
        <f t="shared" si="387"/>
        <v>0.7873732042073639</v>
      </c>
      <c r="DV122" s="14">
        <f t="shared" si="388"/>
        <v>0.7873732042073639</v>
      </c>
      <c r="DW122" s="14">
        <f t="shared" si="389"/>
        <v>0.7873732042073639</v>
      </c>
      <c r="DX122" s="14">
        <f t="shared" si="390"/>
        <v>0.7873732042073639</v>
      </c>
      <c r="DY122" s="14">
        <f t="shared" si="391"/>
        <v>0.7873732042073639</v>
      </c>
      <c r="DZ122" s="14">
        <f t="shared" si="392"/>
        <v>0.7873732042073639</v>
      </c>
      <c r="EA122" s="14">
        <f t="shared" si="393"/>
        <v>0.7873732042073639</v>
      </c>
      <c r="EB122" s="14">
        <f t="shared" si="394"/>
        <v>0.7873732042073639</v>
      </c>
      <c r="ED122" s="47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14">
        <f t="shared" si="320"/>
        <v>1.5161100388803473E-3</v>
      </c>
      <c r="EU122" s="14">
        <f t="shared" si="321"/>
        <v>0.58451381183701812</v>
      </c>
      <c r="EV122" s="14">
        <f t="shared" si="322"/>
        <v>1.1672137415418327</v>
      </c>
      <c r="EW122" s="14">
        <f t="shared" si="323"/>
        <v>1.7529164717889607</v>
      </c>
      <c r="EX122" s="14">
        <f t="shared" si="324"/>
        <v>2.3454940710447532</v>
      </c>
      <c r="EY122" s="14">
        <f t="shared" si="325"/>
        <v>2.9493846308809446</v>
      </c>
      <c r="EZ122" s="14">
        <f t="shared" si="326"/>
        <v>3.5695772278968856</v>
      </c>
      <c r="FA122" s="14">
        <f t="shared" si="327"/>
        <v>4.2115867336605346</v>
      </c>
      <c r="FB122" s="14">
        <f t="shared" si="328"/>
        <v>4.8814166039837783</v>
      </c>
      <c r="FC122" s="14">
        <f t="shared" si="329"/>
        <v>5.5855063176472441</v>
      </c>
      <c r="FD122" s="14">
        <f t="shared" si="330"/>
        <v>6.3306584038331515</v>
      </c>
      <c r="FE122" s="14">
        <f t="shared" si="395"/>
        <v>7.1239378855911957</v>
      </c>
      <c r="FF122" s="14">
        <f t="shared" si="396"/>
        <v>7.9461899063277324</v>
      </c>
      <c r="FG122" s="14">
        <f t="shared" si="397"/>
        <v>8.7974709419092711</v>
      </c>
      <c r="FH122" s="14">
        <f t="shared" si="398"/>
        <v>9.6778951694442661</v>
      </c>
      <c r="FI122" s="14">
        <f t="shared" si="399"/>
        <v>10.587601863516714</v>
      </c>
      <c r="FJ122" s="14">
        <f t="shared" si="400"/>
        <v>11.526721678637777</v>
      </c>
      <c r="FK122" s="14">
        <f t="shared" si="401"/>
        <v>12.495340423622853</v>
      </c>
      <c r="FL122" s="14">
        <f t="shared" si="402"/>
        <v>13.493458783791088</v>
      </c>
      <c r="FM122" s="14">
        <f t="shared" si="403"/>
        <v>14.520946238655002</v>
      </c>
      <c r="FN122" s="14">
        <f t="shared" si="404"/>
        <v>15.577487145864662</v>
      </c>
      <c r="FO122" s="14">
        <f t="shared" si="405"/>
        <v>16.662516604108021</v>
      </c>
      <c r="FP122" s="14">
        <f t="shared" si="406"/>
        <v>17.775143253218065</v>
      </c>
      <c r="FQ122" s="14">
        <f t="shared" si="407"/>
        <v>18.914055600360669</v>
      </c>
      <c r="FR122" s="14">
        <f t="shared" si="408"/>
        <v>20.07740775440131</v>
      </c>
      <c r="FS122" s="14">
        <f t="shared" si="409"/>
        <v>21.262679579263601</v>
      </c>
    </row>
    <row r="123" spans="5:175" ht="15" customHeight="1" x14ac:dyDescent="0.25">
      <c r="E123" s="46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14">
        <f t="shared" si="331"/>
        <v>0.17447010342217778</v>
      </c>
      <c r="V123" s="14">
        <f t="shared" si="332"/>
        <v>2.7644128888967994</v>
      </c>
      <c r="W123" s="14">
        <f t="shared" si="333"/>
        <v>5.3216396859294584</v>
      </c>
      <c r="X123" s="14">
        <f t="shared" si="334"/>
        <v>7.8613843882467602</v>
      </c>
      <c r="Y123" s="14">
        <f t="shared" si="335"/>
        <v>10.40217712920839</v>
      </c>
      <c r="Z123" s="14">
        <f t="shared" si="336"/>
        <v>12.965749080566164</v>
      </c>
      <c r="AA123" s="14">
        <f t="shared" si="337"/>
        <v>15.576995704044325</v>
      </c>
      <c r="AB123" s="14">
        <f t="shared" si="338"/>
        <v>18.263963619230935</v>
      </c>
      <c r="AC123" s="14">
        <f t="shared" si="339"/>
        <v>21.057862288566824</v>
      </c>
      <c r="AD123" s="14">
        <f t="shared" si="340"/>
        <v>23.993099853526253</v>
      </c>
      <c r="AE123" s="14">
        <f t="shared" si="341"/>
        <v>27.10734047559389</v>
      </c>
      <c r="AF123" s="14">
        <f t="shared" si="410"/>
        <v>31.895115001606303</v>
      </c>
      <c r="AG123" s="14">
        <f t="shared" si="411"/>
        <v>35.75919418698038</v>
      </c>
      <c r="AH123" s="14">
        <f t="shared" si="412"/>
        <v>39.756639906449571</v>
      </c>
      <c r="AI123" s="14">
        <f t="shared" si="413"/>
        <v>43.889798430767698</v>
      </c>
      <c r="AJ123" s="14">
        <f t="shared" si="414"/>
        <v>48.161198660850566</v>
      </c>
      <c r="AK123" s="14">
        <f t="shared" si="415"/>
        <v>52.573470524558395</v>
      </c>
      <c r="AL123" s="14">
        <f t="shared" si="416"/>
        <v>57.12926000067246</v>
      </c>
      <c r="AM123" s="14">
        <f t="shared" si="417"/>
        <v>61.831136703594559</v>
      </c>
      <c r="AN123" s="14">
        <f t="shared" si="418"/>
        <v>66.681489552328486</v>
      </c>
      <c r="AO123" s="14">
        <f t="shared" si="419"/>
        <v>71.682405433778797</v>
      </c>
      <c r="AP123" s="14">
        <f t="shared" si="420"/>
        <v>76.835524922667673</v>
      </c>
      <c r="AQ123" s="14">
        <f t="shared" si="421"/>
        <v>82.14186799724979</v>
      </c>
      <c r="AR123" s="14">
        <f t="shared" si="422"/>
        <v>87.601621237829079</v>
      </c>
      <c r="AS123" s="14">
        <f t="shared" si="423"/>
        <v>93.213876145208019</v>
      </c>
      <c r="AT123" s="33">
        <v>100</v>
      </c>
      <c r="AV123" s="47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6">
        <f t="shared" si="342"/>
        <v>-2454.4317593822134</v>
      </c>
      <c r="BM123" s="26">
        <f t="shared" si="343"/>
        <v>-943588.08809163258</v>
      </c>
      <c r="BN123" s="26">
        <f t="shared" si="344"/>
        <v>-1884229.1173001584</v>
      </c>
      <c r="BO123" s="26">
        <f t="shared" si="345"/>
        <v>-2829711.4814563845</v>
      </c>
      <c r="BP123" s="26">
        <f t="shared" si="346"/>
        <v>-3786295.6108491174</v>
      </c>
      <c r="BQ123" s="26">
        <f t="shared" si="347"/>
        <v>-4761159.5888450984</v>
      </c>
      <c r="BR123" s="26">
        <f t="shared" si="348"/>
        <v>-5762374.8189899391</v>
      </c>
      <c r="BS123" s="26">
        <f t="shared" si="349"/>
        <v>-6798865.1737537179</v>
      </c>
      <c r="BT123" s="26">
        <f t="shared" si="350"/>
        <v>-7880346.5203509387</v>
      </c>
      <c r="BU123" s="26">
        <f t="shared" si="351"/>
        <v>-9017241.1146451347</v>
      </c>
      <c r="BV123" s="26">
        <f t="shared" si="352"/>
        <v>-10220558.498643635</v>
      </c>
      <c r="BW123" s="26">
        <f t="shared" si="354"/>
        <v>-11501731.04466163</v>
      </c>
      <c r="BX123" s="26">
        <f t="shared" si="355"/>
        <v>-12829744.596575439</v>
      </c>
      <c r="BY123" s="26">
        <f t="shared" si="356"/>
        <v>-14204685.562792948</v>
      </c>
      <c r="BZ123" s="26">
        <f t="shared" si="357"/>
        <v>-15626736.60151278</v>
      </c>
      <c r="CA123" s="26">
        <f t="shared" si="358"/>
        <v>-17096123.390786298</v>
      </c>
      <c r="CB123" s="26">
        <f t="shared" si="359"/>
        <v>-18613059.715736385</v>
      </c>
      <c r="CC123" s="26">
        <f t="shared" si="360"/>
        <v>-20177688.57589709</v>
      </c>
      <c r="CD123" s="26">
        <f t="shared" si="361"/>
        <v>-21790016.774595756</v>
      </c>
      <c r="CE123" s="26">
        <f t="shared" si="362"/>
        <v>-23449840.113734953</v>
      </c>
      <c r="CF123" s="26">
        <f t="shared" si="363"/>
        <v>-25156655.864349861</v>
      </c>
      <c r="CG123" s="26">
        <f t="shared" si="364"/>
        <v>-26909558.595220119</v>
      </c>
      <c r="CH123" s="26">
        <f t="shared" si="365"/>
        <v>-28707114.693233721</v>
      </c>
      <c r="CI123" s="26">
        <f t="shared" si="366"/>
        <v>-30547209.969135135</v>
      </c>
      <c r="CJ123" s="26">
        <f t="shared" si="367"/>
        <v>-32426863.573035054</v>
      </c>
      <c r="CK123" s="26">
        <f t="shared" si="368"/>
        <v>-34342000</v>
      </c>
      <c r="CM123" s="47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14">
        <f t="shared" si="369"/>
        <v>0.81538210011379086</v>
      </c>
      <c r="DD123" s="14">
        <f t="shared" si="370"/>
        <v>0.81538210011379086</v>
      </c>
      <c r="DE123" s="14">
        <f t="shared" si="371"/>
        <v>0.81538210011379086</v>
      </c>
      <c r="DF123" s="14">
        <f t="shared" si="372"/>
        <v>0.81538210011379086</v>
      </c>
      <c r="DG123" s="14">
        <f t="shared" si="373"/>
        <v>0.81538210011379086</v>
      </c>
      <c r="DH123" s="14">
        <f t="shared" si="374"/>
        <v>0.81538210011379086</v>
      </c>
      <c r="DI123" s="14">
        <f t="shared" si="375"/>
        <v>0.81538210011379086</v>
      </c>
      <c r="DJ123" s="14">
        <f t="shared" si="376"/>
        <v>0.81538210011379086</v>
      </c>
      <c r="DK123" s="14">
        <f t="shared" si="377"/>
        <v>0.81538210011379086</v>
      </c>
      <c r="DL123" s="14">
        <f t="shared" si="378"/>
        <v>0.81538210011379086</v>
      </c>
      <c r="DM123" s="14">
        <f t="shared" si="379"/>
        <v>0.81538210011379086</v>
      </c>
      <c r="DN123" s="14">
        <f t="shared" si="380"/>
        <v>0.81538210011379086</v>
      </c>
      <c r="DO123" s="14">
        <f t="shared" si="381"/>
        <v>0.81538210011379086</v>
      </c>
      <c r="DP123" s="14">
        <f t="shared" si="382"/>
        <v>0.81538210011379086</v>
      </c>
      <c r="DQ123" s="14">
        <f t="shared" si="383"/>
        <v>0.81538210011379086</v>
      </c>
      <c r="DR123" s="14">
        <f t="shared" si="384"/>
        <v>0.81538210011379086</v>
      </c>
      <c r="DS123" s="14">
        <f t="shared" si="385"/>
        <v>0.81538210011379086</v>
      </c>
      <c r="DT123" s="14">
        <f t="shared" si="386"/>
        <v>0.81538210011379086</v>
      </c>
      <c r="DU123" s="14">
        <f t="shared" si="387"/>
        <v>0.81538210011379086</v>
      </c>
      <c r="DV123" s="14">
        <f t="shared" si="388"/>
        <v>0.81538210011379086</v>
      </c>
      <c r="DW123" s="14">
        <f t="shared" si="389"/>
        <v>0.81538210011379086</v>
      </c>
      <c r="DX123" s="14">
        <f t="shared" si="390"/>
        <v>0.81538210011379086</v>
      </c>
      <c r="DY123" s="14">
        <f t="shared" si="391"/>
        <v>0.81538210011379086</v>
      </c>
      <c r="DZ123" s="14">
        <f t="shared" si="392"/>
        <v>0.81538210011379086</v>
      </c>
      <c r="EA123" s="14">
        <f t="shared" si="393"/>
        <v>0.81538210011379086</v>
      </c>
      <c r="EB123" s="14">
        <f t="shared" si="394"/>
        <v>0.81538210011379086</v>
      </c>
      <c r="ED123" s="47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14">
        <f t="shared" si="320"/>
        <v>1.1818048564489899E-3</v>
      </c>
      <c r="EU123" s="14">
        <f t="shared" si="321"/>
        <v>0.51089341979963077</v>
      </c>
      <c r="EV123" s="14">
        <f t="shared" si="322"/>
        <v>1.0206229055986049</v>
      </c>
      <c r="EW123" s="14">
        <f t="shared" si="323"/>
        <v>1.5332116031096128</v>
      </c>
      <c r="EX123" s="14">
        <f t="shared" si="324"/>
        <v>2.0519630787385585</v>
      </c>
      <c r="EY123" s="14">
        <f t="shared" si="325"/>
        <v>2.5806345639309409</v>
      </c>
      <c r="EZ123" s="14">
        <f t="shared" si="326"/>
        <v>3.1234181797184366</v>
      </c>
      <c r="FA123" s="14">
        <f t="shared" si="327"/>
        <v>3.6849110680570454</v>
      </c>
      <c r="FB123" s="14">
        <f t="shared" si="328"/>
        <v>4.2700723878766595</v>
      </c>
      <c r="FC123" s="14">
        <f t="shared" si="329"/>
        <v>4.8841637997460658</v>
      </c>
      <c r="FD123" s="14">
        <f t="shared" si="330"/>
        <v>5.5326684836936879</v>
      </c>
      <c r="FE123" s="14">
        <f t="shared" si="395"/>
        <v>6.2211818177848039</v>
      </c>
      <c r="FF123" s="14">
        <f t="shared" si="396"/>
        <v>6.9348154454271258</v>
      </c>
      <c r="FG123" s="14">
        <f t="shared" si="397"/>
        <v>7.6735906219251317</v>
      </c>
      <c r="FH123" s="14">
        <f t="shared" si="398"/>
        <v>8.4375687517705149</v>
      </c>
      <c r="FI123" s="14">
        <f t="shared" si="399"/>
        <v>9.226823288366619</v>
      </c>
      <c r="FJ123" s="14">
        <f t="shared" si="400"/>
        <v>10.041410052257723</v>
      </c>
      <c r="FK123" s="14">
        <f t="shared" si="401"/>
        <v>10.881334854947646</v>
      </c>
      <c r="FL123" s="14">
        <f t="shared" si="402"/>
        <v>11.746517160995472</v>
      </c>
      <c r="FM123" s="14">
        <f t="shared" si="403"/>
        <v>12.63674832669923</v>
      </c>
      <c r="FN123" s="14">
        <f t="shared" si="404"/>
        <v>13.551642710353462</v>
      </c>
      <c r="FO123" s="14">
        <f t="shared" si="405"/>
        <v>14.490579646880004</v>
      </c>
      <c r="FP123" s="14">
        <f t="shared" si="406"/>
        <v>15.452633907392688</v>
      </c>
      <c r="FQ123" s="14">
        <f t="shared" si="407"/>
        <v>16.436491809208878</v>
      </c>
      <c r="FR123" s="14">
        <f t="shared" si="408"/>
        <v>17.440349589399457</v>
      </c>
      <c r="FS123" s="14">
        <f t="shared" si="409"/>
        <v>18.461789988620911</v>
      </c>
    </row>
    <row r="124" spans="5:175" ht="15" customHeight="1" x14ac:dyDescent="0.25">
      <c r="E124" s="46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14">
        <f t="shared" si="331"/>
        <v>0.15071021875078883</v>
      </c>
      <c r="V124" s="14">
        <f t="shared" si="332"/>
        <v>2.766501434137508</v>
      </c>
      <c r="W124" s="14">
        <f t="shared" si="333"/>
        <v>5.3543337827757567</v>
      </c>
      <c r="X124" s="14">
        <f t="shared" si="334"/>
        <v>7.9294511340519032</v>
      </c>
      <c r="Y124" s="14">
        <f t="shared" si="335"/>
        <v>10.510265274216819</v>
      </c>
      <c r="Z124" s="14">
        <f t="shared" si="336"/>
        <v>13.118265821714308</v>
      </c>
      <c r="AA124" s="14">
        <f t="shared" si="337"/>
        <v>15.777971686347932</v>
      </c>
      <c r="AB124" s="14">
        <f t="shared" si="338"/>
        <v>18.516893319194573</v>
      </c>
      <c r="AC124" s="14">
        <f t="shared" si="339"/>
        <v>21.365505052586663</v>
      </c>
      <c r="AD124" s="14">
        <f t="shared" si="340"/>
        <v>24.35722418803158</v>
      </c>
      <c r="AE124" s="14">
        <f t="shared" si="341"/>
        <v>27.528390562041402</v>
      </c>
      <c r="AF124" s="14">
        <f t="shared" si="410"/>
        <v>32.166838001206891</v>
      </c>
      <c r="AG124" s="14">
        <f t="shared" si="411"/>
        <v>36.030978855782656</v>
      </c>
      <c r="AH124" s="14">
        <f t="shared" si="412"/>
        <v>40.028843345178949</v>
      </c>
      <c r="AI124" s="14">
        <f t="shared" si="413"/>
        <v>44.16247680731513</v>
      </c>
      <c r="AJ124" s="14">
        <f t="shared" si="414"/>
        <v>48.434085536617083</v>
      </c>
      <c r="AK124" s="14">
        <f t="shared" si="415"/>
        <v>52.845943943732188</v>
      </c>
      <c r="AL124" s="14">
        <f t="shared" si="416"/>
        <v>57.400296503517353</v>
      </c>
      <c r="AM124" s="14">
        <f t="shared" si="417"/>
        <v>62.099250075271897</v>
      </c>
      <c r="AN124" s="14">
        <f t="shared" si="418"/>
        <v>66.944651672851919</v>
      </c>
      <c r="AO124" s="14">
        <f t="shared" si="419"/>
        <v>71.937946049544109</v>
      </c>
      <c r="AP124" s="14">
        <f t="shared" si="420"/>
        <v>77.080006510050694</v>
      </c>
      <c r="AQ124" s="14">
        <f t="shared" si="421"/>
        <v>82.370931126860114</v>
      </c>
      <c r="AR124" s="14">
        <f t="shared" si="422"/>
        <v>87.80979496661368</v>
      </c>
      <c r="AS124" s="14">
        <f t="shared" si="423"/>
        <v>93.394346956380218</v>
      </c>
      <c r="AT124" s="33">
        <v>100</v>
      </c>
      <c r="AV124" s="47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6">
        <f t="shared" si="342"/>
        <v>-2120.1795614821422</v>
      </c>
      <c r="BM124" s="26">
        <f t="shared" si="343"/>
        <v>-952340.60231656395</v>
      </c>
      <c r="BN124" s="26">
        <f t="shared" si="344"/>
        <v>-1902754.8335339974</v>
      </c>
      <c r="BO124" s="26">
        <f t="shared" si="345"/>
        <v>-2858633.8444948359</v>
      </c>
      <c r="BP124" s="26">
        <f t="shared" si="346"/>
        <v>-3826088.4788861275</v>
      </c>
      <c r="BQ124" s="26">
        <f t="shared" si="347"/>
        <v>-4812051.330822479</v>
      </c>
      <c r="BR124" s="26">
        <f t="shared" si="348"/>
        <v>-5824238.526928368</v>
      </c>
      <c r="BS124" s="26">
        <f t="shared" si="349"/>
        <v>-6871089.5716795605</v>
      </c>
      <c r="BT124" s="26">
        <f t="shared" si="350"/>
        <v>-7961681.2246181071</v>
      </c>
      <c r="BU124" s="26">
        <f t="shared" si="351"/>
        <v>-9105608.8636351973</v>
      </c>
      <c r="BV124" s="26">
        <f t="shared" si="352"/>
        <v>-10312825.812951904</v>
      </c>
      <c r="BW124" s="26">
        <f t="shared" si="354"/>
        <v>-11593427.509421226</v>
      </c>
      <c r="BX124" s="26">
        <f t="shared" si="355"/>
        <v>-12920731.934170721</v>
      </c>
      <c r="BY124" s="26">
        <f t="shared" si="356"/>
        <v>-14294763.10716309</v>
      </c>
      <c r="BZ124" s="26">
        <f t="shared" si="357"/>
        <v>-15715613.679188397</v>
      </c>
      <c r="CA124" s="26">
        <f t="shared" si="358"/>
        <v>-17183392.841443665</v>
      </c>
      <c r="CB124" s="26">
        <f t="shared" si="359"/>
        <v>-18698170.926040627</v>
      </c>
      <c r="CC124" s="26">
        <f t="shared" si="360"/>
        <v>-20259918.688496083</v>
      </c>
      <c r="CD124" s="26">
        <f t="shared" si="361"/>
        <v>-21868438.961852062</v>
      </c>
      <c r="CE124" s="26">
        <f t="shared" si="362"/>
        <v>-23523288.002853356</v>
      </c>
      <c r="CF124" s="26">
        <f t="shared" si="363"/>
        <v>-25223683.396890469</v>
      </c>
      <c r="CG124" s="26">
        <f t="shared" si="364"/>
        <v>-26968394.832347441</v>
      </c>
      <c r="CH124" s="26">
        <f t="shared" si="365"/>
        <v>-28755613.377017103</v>
      </c>
      <c r="CI124" s="26">
        <f t="shared" si="366"/>
        <v>-30582794.067677487</v>
      </c>
      <c r="CJ124" s="26">
        <f t="shared" si="367"/>
        <v>-32446465.634686388</v>
      </c>
      <c r="CK124" s="26">
        <f t="shared" si="368"/>
        <v>-34342000</v>
      </c>
      <c r="CM124" s="47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14">
        <f t="shared" si="369"/>
        <v>0.85900898314151009</v>
      </c>
      <c r="DD124" s="14">
        <f t="shared" si="370"/>
        <v>0.85900898314151009</v>
      </c>
      <c r="DE124" s="14">
        <f t="shared" si="371"/>
        <v>0.85900898314151009</v>
      </c>
      <c r="DF124" s="14">
        <f t="shared" si="372"/>
        <v>0.85900898314151009</v>
      </c>
      <c r="DG124" s="14">
        <f t="shared" si="373"/>
        <v>0.85900898314151009</v>
      </c>
      <c r="DH124" s="14">
        <f t="shared" si="374"/>
        <v>0.85900898314151009</v>
      </c>
      <c r="DI124" s="14">
        <f t="shared" si="375"/>
        <v>0.85900898314151009</v>
      </c>
      <c r="DJ124" s="14">
        <f t="shared" si="376"/>
        <v>0.85900898314151009</v>
      </c>
      <c r="DK124" s="14">
        <f t="shared" si="377"/>
        <v>0.85900898314151009</v>
      </c>
      <c r="DL124" s="14">
        <f t="shared" si="378"/>
        <v>0.85900898314151009</v>
      </c>
      <c r="DM124" s="14">
        <f t="shared" si="379"/>
        <v>0.85900898314151009</v>
      </c>
      <c r="DN124" s="14">
        <f t="shared" si="380"/>
        <v>0.85900898314151009</v>
      </c>
      <c r="DO124" s="14">
        <f t="shared" si="381"/>
        <v>0.85900898314151009</v>
      </c>
      <c r="DP124" s="14">
        <f t="shared" si="382"/>
        <v>0.85900898314151009</v>
      </c>
      <c r="DQ124" s="14">
        <f t="shared" si="383"/>
        <v>0.85900898314151009</v>
      </c>
      <c r="DR124" s="14">
        <f t="shared" si="384"/>
        <v>0.85900898314151009</v>
      </c>
      <c r="DS124" s="14">
        <f t="shared" si="385"/>
        <v>0.85900898314151009</v>
      </c>
      <c r="DT124" s="14">
        <f t="shared" si="386"/>
        <v>0.85900898314151009</v>
      </c>
      <c r="DU124" s="14">
        <f t="shared" si="387"/>
        <v>0.85900898314151009</v>
      </c>
      <c r="DV124" s="14">
        <f t="shared" si="388"/>
        <v>0.85900898314151009</v>
      </c>
      <c r="DW124" s="14">
        <f t="shared" si="389"/>
        <v>0.85900898314151009</v>
      </c>
      <c r="DX124" s="14">
        <f t="shared" si="390"/>
        <v>0.85900898314151009</v>
      </c>
      <c r="DY124" s="14">
        <f t="shared" si="391"/>
        <v>0.85900898314151009</v>
      </c>
      <c r="DZ124" s="14">
        <f t="shared" si="392"/>
        <v>0.85900898314151009</v>
      </c>
      <c r="EA124" s="14">
        <f t="shared" si="393"/>
        <v>0.85900898314151009</v>
      </c>
      <c r="EB124" s="14">
        <f t="shared" si="394"/>
        <v>0.85900898314151009</v>
      </c>
      <c r="ED124" s="47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14">
        <f t="shared" si="320"/>
        <v>8.3883262150980062E-4</v>
      </c>
      <c r="EU124" s="14">
        <f t="shared" si="321"/>
        <v>0.39184592946298374</v>
      </c>
      <c r="EV124" s="14">
        <f t="shared" si="322"/>
        <v>0.78299748751998755</v>
      </c>
      <c r="EW124" s="14">
        <f t="shared" si="323"/>
        <v>1.1764513246195112</v>
      </c>
      <c r="EX124" s="14">
        <f t="shared" si="324"/>
        <v>1.5747016759976467</v>
      </c>
      <c r="EY124" s="14">
        <f t="shared" si="325"/>
        <v>1.9805708883491993</v>
      </c>
      <c r="EZ124" s="14">
        <f t="shared" si="326"/>
        <v>2.3971924462171446</v>
      </c>
      <c r="FA124" s="14">
        <f t="shared" si="327"/>
        <v>2.8279845025054708</v>
      </c>
      <c r="FB124" s="14">
        <f t="shared" si="328"/>
        <v>3.2766121809509254</v>
      </c>
      <c r="FC124" s="14">
        <f t="shared" si="329"/>
        <v>3.7469358804412765</v>
      </c>
      <c r="FD124" s="14">
        <f t="shared" si="330"/>
        <v>4.2429415844307936</v>
      </c>
      <c r="FE124" s="14">
        <f t="shared" si="395"/>
        <v>4.7686476964955409</v>
      </c>
      <c r="FF124" s="14">
        <f t="shared" si="396"/>
        <v>5.3135098192648389</v>
      </c>
      <c r="FG124" s="14">
        <f t="shared" si="397"/>
        <v>5.8775325260165214</v>
      </c>
      <c r="FH124" s="14">
        <f t="shared" si="398"/>
        <v>6.4607456870155238</v>
      </c>
      <c r="FI124" s="14">
        <f t="shared" si="399"/>
        <v>7.0631832480835834</v>
      </c>
      <c r="FJ124" s="14">
        <f t="shared" si="400"/>
        <v>7.6848604882111289</v>
      </c>
      <c r="FK124" s="14">
        <f t="shared" si="401"/>
        <v>8.3257489627127601</v>
      </c>
      <c r="FL124" s="14">
        <f t="shared" si="402"/>
        <v>8.9857482090334351</v>
      </c>
      <c r="FM124" s="14">
        <f t="shared" si="403"/>
        <v>9.6646531381450025</v>
      </c>
      <c r="FN124" s="14">
        <f t="shared" si="404"/>
        <v>10.362115848736334</v>
      </c>
      <c r="FO124" s="14">
        <f t="shared" si="405"/>
        <v>11.07760037708579</v>
      </c>
      <c r="FP124" s="14">
        <f t="shared" si="406"/>
        <v>11.810328625198428</v>
      </c>
      <c r="FQ124" s="14">
        <f t="shared" si="407"/>
        <v>12.559215385558408</v>
      </c>
      <c r="FR124" s="14">
        <f t="shared" si="408"/>
        <v>13.32278999420641</v>
      </c>
      <c r="FS124" s="14">
        <f t="shared" si="409"/>
        <v>14.099101685848986</v>
      </c>
    </row>
    <row r="125" spans="5:175" ht="15" customHeight="1" x14ac:dyDescent="0.25">
      <c r="E125" s="46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14">
        <f t="shared" si="331"/>
        <v>0.13929777780126901</v>
      </c>
      <c r="V125" s="14">
        <f t="shared" si="332"/>
        <v>2.768025631168002</v>
      </c>
      <c r="W125" s="14">
        <f t="shared" si="333"/>
        <v>5.3711150622456501</v>
      </c>
      <c r="X125" s="14">
        <f t="shared" si="334"/>
        <v>7.9638109803449249</v>
      </c>
      <c r="Y125" s="14">
        <f t="shared" si="335"/>
        <v>10.564459593748982</v>
      </c>
      <c r="Z125" s="14">
        <f t="shared" si="336"/>
        <v>13.194420253825303</v>
      </c>
      <c r="AA125" s="14">
        <f t="shared" si="337"/>
        <v>15.878010481984186</v>
      </c>
      <c r="AB125" s="14">
        <f t="shared" si="338"/>
        <v>18.642455340550807</v>
      </c>
      <c r="AC125" s="14">
        <f t="shared" si="339"/>
        <v>21.517839488382922</v>
      </c>
      <c r="AD125" s="14">
        <f t="shared" si="340"/>
        <v>24.537057245675861</v>
      </c>
      <c r="AE125" s="14">
        <f t="shared" si="341"/>
        <v>27.735752607161636</v>
      </c>
      <c r="AF125" s="14">
        <f t="shared" si="410"/>
        <v>32.302567965223716</v>
      </c>
      <c r="AG125" s="14">
        <f t="shared" si="411"/>
        <v>36.166700545600392</v>
      </c>
      <c r="AH125" s="14">
        <f t="shared" si="412"/>
        <v>40.16471401635566</v>
      </c>
      <c r="AI125" s="14">
        <f t="shared" si="413"/>
        <v>44.29850446395703</v>
      </c>
      <c r="AJ125" s="14">
        <f t="shared" si="414"/>
        <v>48.570116893364045</v>
      </c>
      <c r="AK125" s="14">
        <f t="shared" si="415"/>
        <v>52.981647000496999</v>
      </c>
      <c r="AL125" s="14">
        <f t="shared" si="416"/>
        <v>57.535136771720921</v>
      </c>
      <c r="AM125" s="14">
        <f t="shared" si="417"/>
        <v>62.232459342222327</v>
      </c>
      <c r="AN125" s="14">
        <f t="shared" si="418"/>
        <v>67.075187991046363</v>
      </c>
      <c r="AO125" s="14">
        <f t="shared" si="419"/>
        <v>72.064443390544255</v>
      </c>
      <c r="AP125" s="14">
        <f t="shared" si="420"/>
        <v>77.20071222761635</v>
      </c>
      <c r="AQ125" s="14">
        <f t="shared" si="421"/>
        <v>82.48362903024389</v>
      </c>
      <c r="AR125" s="14">
        <f t="shared" si="422"/>
        <v>87.911711411755746</v>
      </c>
      <c r="AS125" s="14">
        <f t="shared" si="423"/>
        <v>93.48203692105335</v>
      </c>
      <c r="AT125" s="33">
        <v>100</v>
      </c>
      <c r="AV125" s="47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6">
        <f t="shared" si="342"/>
        <v>-1959.6302354420518</v>
      </c>
      <c r="BM125" s="26">
        <f t="shared" si="343"/>
        <v>-956722.63431830262</v>
      </c>
      <c r="BN125" s="26">
        <f t="shared" si="344"/>
        <v>-1912009.0781453755</v>
      </c>
      <c r="BO125" s="26">
        <f t="shared" si="345"/>
        <v>-2873058.5489679994</v>
      </c>
      <c r="BP125" s="26">
        <f t="shared" si="346"/>
        <v>-3845907.8782045729</v>
      </c>
      <c r="BQ125" s="26">
        <f t="shared" si="347"/>
        <v>-4837368.620654881</v>
      </c>
      <c r="BR125" s="26">
        <f t="shared" si="348"/>
        <v>-5854982.3181807473</v>
      </c>
      <c r="BS125" s="26">
        <f t="shared" si="349"/>
        <v>-6906951.3389040157</v>
      </c>
      <c r="BT125" s="26">
        <f t="shared" si="350"/>
        <v>-8002040.8690014407</v>
      </c>
      <c r="BU125" s="26">
        <f t="shared" si="351"/>
        <v>-9149445.0910400208</v>
      </c>
      <c r="BV125" s="26">
        <f t="shared" si="352"/>
        <v>-10358607.581734801</v>
      </c>
      <c r="BW125" s="26">
        <f t="shared" si="354"/>
        <v>-11638982.345964769</v>
      </c>
      <c r="BX125" s="26">
        <f t="shared" si="355"/>
        <v>-12965969.494437397</v>
      </c>
      <c r="BY125" s="26">
        <f t="shared" si="356"/>
        <v>-14339566.185627233</v>
      </c>
      <c r="BZ125" s="26">
        <f t="shared" si="357"/>
        <v>-15759823.582712576</v>
      </c>
      <c r="CA125" s="26">
        <f t="shared" si="358"/>
        <v>-17226795.597641878</v>
      </c>
      <c r="CB125" s="26">
        <f t="shared" si="359"/>
        <v>-18740483.501105227</v>
      </c>
      <c r="CC125" s="26">
        <f t="shared" si="360"/>
        <v>-20300774.548322748</v>
      </c>
      <c r="CD125" s="26">
        <f t="shared" si="361"/>
        <v>-21907372.440446738</v>
      </c>
      <c r="CE125" s="26">
        <f t="shared" si="362"/>
        <v>-23559717.059026841</v>
      </c>
      <c r="CF125" s="26">
        <f t="shared" si="363"/>
        <v>-25256890.460001282</v>
      </c>
      <c r="CG125" s="26">
        <f t="shared" si="364"/>
        <v>-26997505.577821992</v>
      </c>
      <c r="CH125" s="26">
        <f t="shared" si="365"/>
        <v>-28779573.4531691</v>
      </c>
      <c r="CI125" s="26">
        <f t="shared" si="366"/>
        <v>-30600344.042496264</v>
      </c>
      <c r="CJ125" s="26">
        <f t="shared" si="367"/>
        <v>-32456114.777414106</v>
      </c>
      <c r="CK125" s="26">
        <f t="shared" si="368"/>
        <v>-34342000</v>
      </c>
      <c r="CM125" s="47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14">
        <f>$C$24/($C$25-$C$26*DC126)</f>
        <v>0.92129568091084513</v>
      </c>
      <c r="DD125" s="14">
        <f t="shared" ref="DD125:EB125" si="424">$C$24/($C$25-$C$26*DD126)</f>
        <v>0.92129568091084513</v>
      </c>
      <c r="DE125" s="14">
        <f t="shared" si="424"/>
        <v>0.92129568091084513</v>
      </c>
      <c r="DF125" s="14">
        <f t="shared" si="424"/>
        <v>0.92129568091084513</v>
      </c>
      <c r="DG125" s="14">
        <f t="shared" si="424"/>
        <v>0.92129568091084513</v>
      </c>
      <c r="DH125" s="14">
        <f t="shared" si="424"/>
        <v>0.92129568091084513</v>
      </c>
      <c r="DI125" s="14">
        <f t="shared" si="424"/>
        <v>0.92129568091084513</v>
      </c>
      <c r="DJ125" s="14">
        <f t="shared" si="424"/>
        <v>0.92129568091084513</v>
      </c>
      <c r="DK125" s="14">
        <f t="shared" si="424"/>
        <v>0.92129568091084513</v>
      </c>
      <c r="DL125" s="14">
        <f t="shared" si="424"/>
        <v>0.92129568091084513</v>
      </c>
      <c r="DM125" s="14">
        <f t="shared" si="424"/>
        <v>0.92129568091084513</v>
      </c>
      <c r="DN125" s="14">
        <f t="shared" si="424"/>
        <v>0.92129568091084513</v>
      </c>
      <c r="DO125" s="14">
        <f t="shared" si="424"/>
        <v>0.92129568091084513</v>
      </c>
      <c r="DP125" s="14">
        <f t="shared" si="424"/>
        <v>0.92129568091084513</v>
      </c>
      <c r="DQ125" s="14">
        <f t="shared" si="424"/>
        <v>0.92129568091084513</v>
      </c>
      <c r="DR125" s="14">
        <f t="shared" si="424"/>
        <v>0.92129568091084513</v>
      </c>
      <c r="DS125" s="14">
        <f t="shared" si="424"/>
        <v>0.92129568091084513</v>
      </c>
      <c r="DT125" s="14">
        <f t="shared" si="424"/>
        <v>0.92129568091084513</v>
      </c>
      <c r="DU125" s="14">
        <f t="shared" si="424"/>
        <v>0.92129568091084513</v>
      </c>
      <c r="DV125" s="14">
        <f t="shared" si="424"/>
        <v>0.92129568091084513</v>
      </c>
      <c r="DW125" s="14">
        <f t="shared" si="424"/>
        <v>0.92129568091084513</v>
      </c>
      <c r="DX125" s="14">
        <f t="shared" si="424"/>
        <v>0.92129568091084513</v>
      </c>
      <c r="DY125" s="14">
        <f t="shared" si="424"/>
        <v>0.92129568091084513</v>
      </c>
      <c r="DZ125" s="14">
        <f t="shared" si="424"/>
        <v>0.92129568091084513</v>
      </c>
      <c r="EA125" s="14">
        <f t="shared" si="424"/>
        <v>0.92129568091084513</v>
      </c>
      <c r="EB125" s="14">
        <f t="shared" si="424"/>
        <v>0.92129568091084513</v>
      </c>
      <c r="ED125" s="47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14">
        <f t="shared" si="320"/>
        <v>4.4910419703857337E-4</v>
      </c>
      <c r="EU125" s="14">
        <f t="shared" si="321"/>
        <v>0.21925980866345723</v>
      </c>
      <c r="EV125" s="14">
        <f t="shared" si="322"/>
        <v>0.43819047401931865</v>
      </c>
      <c r="EW125" s="14">
        <f t="shared" si="323"/>
        <v>0.65844189854930291</v>
      </c>
      <c r="EX125" s="14">
        <f t="shared" si="324"/>
        <v>0.88139759138578755</v>
      </c>
      <c r="EY125" s="14">
        <f t="shared" si="325"/>
        <v>1.1086186112395509</v>
      </c>
      <c r="EZ125" s="14">
        <f t="shared" si="326"/>
        <v>1.3418333138182315</v>
      </c>
      <c r="FA125" s="14">
        <f t="shared" si="327"/>
        <v>1.5829215016899625</v>
      </c>
      <c r="FB125" s="14">
        <f t="shared" si="328"/>
        <v>1.8338919629559933</v>
      </c>
      <c r="FC125" s="14">
        <f t="shared" si="329"/>
        <v>2.0968518022652005</v>
      </c>
      <c r="FD125" s="14">
        <f t="shared" si="330"/>
        <v>2.3739652799260216</v>
      </c>
      <c r="FE125" s="14">
        <f t="shared" si="395"/>
        <v>2.6673990461529646</v>
      </c>
      <c r="FF125" s="14">
        <f t="shared" si="396"/>
        <v>2.9715153467778479</v>
      </c>
      <c r="FG125" s="14">
        <f t="shared" si="397"/>
        <v>3.2863135305854656</v>
      </c>
      <c r="FH125" s="14">
        <f t="shared" si="398"/>
        <v>3.6118053230522333</v>
      </c>
      <c r="FI125" s="14">
        <f t="shared" si="399"/>
        <v>3.9480030796122945</v>
      </c>
      <c r="FJ125" s="14">
        <f t="shared" si="400"/>
        <v>4.2949070914799004</v>
      </c>
      <c r="FK125" s="14">
        <f t="shared" si="401"/>
        <v>4.652491520028498</v>
      </c>
      <c r="FL125" s="14">
        <f t="shared" si="402"/>
        <v>5.020688460071856</v>
      </c>
      <c r="FM125" s="14">
        <f t="shared" si="403"/>
        <v>5.3993695447669126</v>
      </c>
      <c r="FN125" s="14">
        <f t="shared" si="404"/>
        <v>5.7883244015018684</v>
      </c>
      <c r="FO125" s="14">
        <f t="shared" si="405"/>
        <v>6.1872351453268291</v>
      </c>
      <c r="FP125" s="14">
        <f t="shared" si="406"/>
        <v>6.5956459504629628</v>
      </c>
      <c r="FQ125" s="14">
        <f t="shared" si="407"/>
        <v>7.0129265673476917</v>
      </c>
      <c r="FR125" s="14">
        <f t="shared" si="408"/>
        <v>7.4382284486513113</v>
      </c>
      <c r="FS125" s="14">
        <f t="shared" si="409"/>
        <v>7.8704319089154842</v>
      </c>
    </row>
    <row r="126" spans="5:175" ht="15" customHeight="1" x14ac:dyDescent="0.25">
      <c r="E126" s="46"/>
      <c r="F126" s="13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8"/>
      <c r="U126" s="14">
        <f t="shared" si="331"/>
        <v>0.13929777780126901</v>
      </c>
      <c r="V126" s="14">
        <f t="shared" si="332"/>
        <v>2.768025631168002</v>
      </c>
      <c r="W126" s="14">
        <f t="shared" si="333"/>
        <v>5.3711150622456501</v>
      </c>
      <c r="X126" s="14">
        <f t="shared" si="334"/>
        <v>7.9638109803449249</v>
      </c>
      <c r="Y126" s="14">
        <f t="shared" si="335"/>
        <v>10.564459593748982</v>
      </c>
      <c r="Z126" s="14">
        <f t="shared" si="336"/>
        <v>13.194420253825303</v>
      </c>
      <c r="AA126" s="14">
        <f t="shared" si="337"/>
        <v>15.878010481984186</v>
      </c>
      <c r="AB126" s="14">
        <f t="shared" si="338"/>
        <v>18.642455340550807</v>
      </c>
      <c r="AC126" s="14">
        <f t="shared" si="339"/>
        <v>21.517839488382922</v>
      </c>
      <c r="AD126" s="14">
        <f t="shared" si="340"/>
        <v>24.537057245675861</v>
      </c>
      <c r="AE126" s="14">
        <f t="shared" si="341"/>
        <v>27.735752607161636</v>
      </c>
      <c r="AF126" s="14">
        <f t="shared" si="410"/>
        <v>32.302567965223716</v>
      </c>
      <c r="AG126" s="14">
        <f t="shared" si="411"/>
        <v>36.166700545600392</v>
      </c>
      <c r="AH126" s="14">
        <f t="shared" si="412"/>
        <v>40.16471401635566</v>
      </c>
      <c r="AI126" s="14">
        <f t="shared" si="413"/>
        <v>44.29850446395703</v>
      </c>
      <c r="AJ126" s="14">
        <f t="shared" si="414"/>
        <v>48.570116893364045</v>
      </c>
      <c r="AK126" s="14">
        <f t="shared" si="415"/>
        <v>52.981647000496999</v>
      </c>
      <c r="AL126" s="14">
        <f t="shared" si="416"/>
        <v>57.535136771720921</v>
      </c>
      <c r="AM126" s="14">
        <f t="shared" si="417"/>
        <v>62.232459342222327</v>
      </c>
      <c r="AN126" s="14">
        <f t="shared" si="418"/>
        <v>67.075187991046363</v>
      </c>
      <c r="AO126" s="14">
        <f t="shared" si="419"/>
        <v>72.064443390544255</v>
      </c>
      <c r="AP126" s="14">
        <f t="shared" si="420"/>
        <v>77.20071222761635</v>
      </c>
      <c r="AQ126" s="14">
        <f t="shared" si="421"/>
        <v>82.48362903024389</v>
      </c>
      <c r="AR126" s="14">
        <f t="shared" si="422"/>
        <v>87.911711411755746</v>
      </c>
      <c r="AS126" s="14">
        <f t="shared" si="423"/>
        <v>93.48203692105335</v>
      </c>
      <c r="AT126" s="33">
        <v>100</v>
      </c>
      <c r="AV126" s="47"/>
      <c r="AW126" s="13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6">
        <f t="shared" si="342"/>
        <v>-1959.6302354420518</v>
      </c>
      <c r="BM126" s="26">
        <f t="shared" si="343"/>
        <v>-956722.63431830262</v>
      </c>
      <c r="BN126" s="26">
        <f t="shared" si="344"/>
        <v>-1912009.0781453755</v>
      </c>
      <c r="BO126" s="26">
        <f t="shared" si="345"/>
        <v>-2873058.5489679994</v>
      </c>
      <c r="BP126" s="26">
        <f t="shared" si="346"/>
        <v>-3845907.8782045729</v>
      </c>
      <c r="BQ126" s="26">
        <f t="shared" si="347"/>
        <v>-4837368.620654881</v>
      </c>
      <c r="BR126" s="26">
        <f t="shared" si="348"/>
        <v>-5854982.3181807473</v>
      </c>
      <c r="BS126" s="26">
        <f t="shared" si="349"/>
        <v>-6906951.3389040157</v>
      </c>
      <c r="BT126" s="26">
        <f t="shared" si="350"/>
        <v>-8002040.8690014407</v>
      </c>
      <c r="BU126" s="26">
        <f t="shared" si="351"/>
        <v>-9149445.0910400208</v>
      </c>
      <c r="BV126" s="26">
        <f t="shared" si="352"/>
        <v>-10358607.581734801</v>
      </c>
      <c r="BW126" s="26">
        <f t="shared" si="354"/>
        <v>-11638982.345964769</v>
      </c>
      <c r="BX126" s="26">
        <f t="shared" si="355"/>
        <v>-12965969.494437397</v>
      </c>
      <c r="BY126" s="26">
        <f t="shared" si="356"/>
        <v>-14339566.185627233</v>
      </c>
      <c r="BZ126" s="26">
        <f t="shared" si="357"/>
        <v>-15759823.582712576</v>
      </c>
      <c r="CA126" s="26">
        <f t="shared" si="358"/>
        <v>-17226795.597641878</v>
      </c>
      <c r="CB126" s="26">
        <f t="shared" si="359"/>
        <v>-18740483.501105227</v>
      </c>
      <c r="CC126" s="26">
        <f t="shared" si="360"/>
        <v>-20300774.548322748</v>
      </c>
      <c r="CD126" s="26">
        <f t="shared" si="361"/>
        <v>-21907372.440446738</v>
      </c>
      <c r="CE126" s="26">
        <f t="shared" si="362"/>
        <v>-23559717.059026841</v>
      </c>
      <c r="CF126" s="26">
        <f t="shared" si="363"/>
        <v>-25256890.460001282</v>
      </c>
      <c r="CG126" s="26">
        <f t="shared" si="364"/>
        <v>-26997505.577821992</v>
      </c>
      <c r="CH126" s="26">
        <f t="shared" si="365"/>
        <v>-28779573.4531691</v>
      </c>
      <c r="CI126" s="26">
        <f t="shared" si="366"/>
        <v>-30600344.042496264</v>
      </c>
      <c r="CJ126" s="26">
        <f t="shared" si="367"/>
        <v>-32456114.777414106</v>
      </c>
      <c r="CK126" s="26">
        <f t="shared" si="368"/>
        <v>-34342000</v>
      </c>
      <c r="CM126" s="47"/>
      <c r="CN126" s="13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8"/>
      <c r="DC126" s="14">
        <v>1</v>
      </c>
      <c r="DD126" s="14">
        <v>1</v>
      </c>
      <c r="DE126" s="14">
        <v>1</v>
      </c>
      <c r="DF126" s="14">
        <v>1</v>
      </c>
      <c r="DG126" s="14">
        <v>1</v>
      </c>
      <c r="DH126" s="14">
        <v>1</v>
      </c>
      <c r="DI126" s="14">
        <v>1</v>
      </c>
      <c r="DJ126" s="14">
        <v>1</v>
      </c>
      <c r="DK126" s="14">
        <v>1</v>
      </c>
      <c r="DL126" s="14">
        <v>1</v>
      </c>
      <c r="DM126" s="14">
        <v>1</v>
      </c>
      <c r="DN126" s="14">
        <v>1</v>
      </c>
      <c r="DO126" s="14">
        <v>1</v>
      </c>
      <c r="DP126" s="14">
        <v>1</v>
      </c>
      <c r="DQ126" s="14">
        <v>1</v>
      </c>
      <c r="DR126" s="14">
        <v>1</v>
      </c>
      <c r="DS126" s="14">
        <v>1</v>
      </c>
      <c r="DT126" s="14">
        <v>1</v>
      </c>
      <c r="DU126" s="14">
        <v>1</v>
      </c>
      <c r="DV126" s="14">
        <v>1</v>
      </c>
      <c r="DW126" s="14">
        <v>1</v>
      </c>
      <c r="DX126" s="14">
        <v>1</v>
      </c>
      <c r="DY126" s="14">
        <v>1</v>
      </c>
      <c r="DZ126" s="14">
        <v>1</v>
      </c>
      <c r="EA126" s="14">
        <v>1</v>
      </c>
      <c r="EB126" s="14">
        <v>1</v>
      </c>
      <c r="ED126" s="47"/>
      <c r="EE126" s="13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8"/>
      <c r="ET126" s="50">
        <v>0</v>
      </c>
      <c r="EU126" s="50">
        <v>0</v>
      </c>
      <c r="EV126" s="50">
        <v>0</v>
      </c>
      <c r="EW126" s="50">
        <v>0</v>
      </c>
      <c r="EX126" s="50">
        <v>0</v>
      </c>
      <c r="EY126" s="50">
        <v>0</v>
      </c>
      <c r="EZ126" s="50">
        <v>0</v>
      </c>
      <c r="FA126" s="50">
        <v>0</v>
      </c>
      <c r="FB126" s="50">
        <v>0</v>
      </c>
      <c r="FC126" s="50">
        <v>0</v>
      </c>
      <c r="FD126" s="50">
        <v>0</v>
      </c>
      <c r="FE126" s="50">
        <v>0</v>
      </c>
      <c r="FF126" s="50">
        <v>0</v>
      </c>
      <c r="FG126" s="50">
        <v>0</v>
      </c>
      <c r="FH126" s="50">
        <v>0</v>
      </c>
      <c r="FI126" s="50">
        <v>0</v>
      </c>
      <c r="FJ126" s="50">
        <v>0</v>
      </c>
      <c r="FK126" s="50">
        <v>0</v>
      </c>
      <c r="FL126" s="50">
        <v>0</v>
      </c>
      <c r="FM126" s="50">
        <v>0</v>
      </c>
      <c r="FN126" s="50">
        <v>0</v>
      </c>
      <c r="FO126" s="50">
        <v>0</v>
      </c>
      <c r="FP126" s="50">
        <v>0</v>
      </c>
      <c r="FQ126" s="50">
        <v>0</v>
      </c>
      <c r="FR126" s="50">
        <v>0</v>
      </c>
      <c r="FS126" s="50">
        <v>0</v>
      </c>
    </row>
  </sheetData>
  <mergeCells count="13">
    <mergeCell ref="ED44:ED84"/>
    <mergeCell ref="ED86:ED126"/>
    <mergeCell ref="A8:A13"/>
    <mergeCell ref="A15:A18"/>
    <mergeCell ref="A20:A22"/>
    <mergeCell ref="A28:A29"/>
    <mergeCell ref="E86:E126"/>
    <mergeCell ref="AV86:AV126"/>
    <mergeCell ref="CM86:CM126"/>
    <mergeCell ref="A24:A26"/>
    <mergeCell ref="E44:E84"/>
    <mergeCell ref="AV44:AV84"/>
    <mergeCell ref="CM44:CM84"/>
  </mergeCells>
  <conditionalFormatting sqref="F2:AE17 U18:AE42 AF32:AT42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RATE_2D">
                <anchor moveWithCells="1">
                  <from>
                    <xdr:col>47</xdr:col>
                    <xdr:colOff>133350</xdr:colOff>
                    <xdr:row>19</xdr:row>
                    <xdr:rowOff>161925</xdr:rowOff>
                  </from>
                  <to>
                    <xdr:col>58</xdr:col>
                    <xdr:colOff>19050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BNULENIE">
                <anchor moveWithCells="1">
                  <from>
                    <xdr:col>48</xdr:col>
                    <xdr:colOff>114300</xdr:colOff>
                    <xdr:row>1</xdr:row>
                    <xdr:rowOff>171450</xdr:rowOff>
                  </from>
                  <to>
                    <xdr:col>56</xdr:col>
                    <xdr:colOff>238125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ViewSourceData">
                <anchor moveWithCells="1">
                  <from>
                    <xdr:col>58</xdr:col>
                    <xdr:colOff>285750</xdr:colOff>
                    <xdr:row>1</xdr:row>
                    <xdr:rowOff>95250</xdr:rowOff>
                  </from>
                  <to>
                    <xdr:col>66</xdr:col>
                    <xdr:colOff>428625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L3:P27"/>
  <sheetViews>
    <sheetView zoomScale="80" zoomScaleNormal="80" workbookViewId="0">
      <selection activeCell="I41" sqref="I41"/>
    </sheetView>
  </sheetViews>
  <sheetFormatPr defaultRowHeight="15" x14ac:dyDescent="0.25"/>
  <cols>
    <col min="12" max="12" width="15.5703125" customWidth="1"/>
  </cols>
  <sheetData>
    <row r="3" spans="12:16" x14ac:dyDescent="0.25">
      <c r="L3" s="35" t="s">
        <v>8</v>
      </c>
      <c r="M3" s="15" t="s">
        <v>0</v>
      </c>
      <c r="N3" s="15">
        <v>0.4</v>
      </c>
    </row>
    <row r="4" spans="12:16" x14ac:dyDescent="0.25">
      <c r="L4" s="36"/>
      <c r="M4" s="15" t="s">
        <v>2</v>
      </c>
      <c r="N4" s="15">
        <v>0.25</v>
      </c>
    </row>
    <row r="5" spans="12:16" x14ac:dyDescent="0.25">
      <c r="L5" s="36"/>
      <c r="M5" s="15" t="s">
        <v>1</v>
      </c>
      <c r="N5" s="15">
        <v>0.25</v>
      </c>
    </row>
    <row r="6" spans="12:16" x14ac:dyDescent="0.25">
      <c r="L6" s="36"/>
      <c r="M6" s="15" t="s">
        <v>3</v>
      </c>
      <c r="N6" s="15">
        <v>0.3</v>
      </c>
    </row>
    <row r="7" spans="12:16" x14ac:dyDescent="0.25">
      <c r="L7" s="36"/>
      <c r="M7" s="15" t="s">
        <v>4</v>
      </c>
      <c r="N7" s="15">
        <v>0.15</v>
      </c>
    </row>
    <row r="8" spans="12:16" x14ac:dyDescent="0.25">
      <c r="L8" s="37"/>
      <c r="M8" s="15" t="s">
        <v>5</v>
      </c>
      <c r="N8" s="15">
        <v>0.15</v>
      </c>
    </row>
    <row r="9" spans="12:16" x14ac:dyDescent="0.25">
      <c r="L9" s="35" t="s">
        <v>17</v>
      </c>
      <c r="M9" s="15" t="s">
        <v>6</v>
      </c>
      <c r="N9" s="15">
        <v>0.4</v>
      </c>
    </row>
    <row r="10" spans="12:16" x14ac:dyDescent="0.25">
      <c r="L10" s="36"/>
      <c r="M10" s="15" t="s">
        <v>7</v>
      </c>
      <c r="N10" s="15">
        <v>0.4</v>
      </c>
    </row>
    <row r="11" spans="12:16" x14ac:dyDescent="0.25">
      <c r="L11" s="36"/>
      <c r="M11" s="15" t="s">
        <v>9</v>
      </c>
      <c r="N11" s="16">
        <f>N9/40</f>
        <v>0.01</v>
      </c>
    </row>
    <row r="12" spans="12:16" x14ac:dyDescent="0.25">
      <c r="L12" s="36"/>
      <c r="M12" s="15" t="s">
        <v>10</v>
      </c>
      <c r="N12" s="16">
        <f>N10/40</f>
        <v>0.01</v>
      </c>
    </row>
    <row r="13" spans="12:16" x14ac:dyDescent="0.25">
      <c r="L13" s="36"/>
      <c r="M13" s="15" t="s">
        <v>11</v>
      </c>
      <c r="N13" s="15">
        <v>5000</v>
      </c>
    </row>
    <row r="14" spans="12:16" x14ac:dyDescent="0.25">
      <c r="L14" s="37"/>
      <c r="M14" s="15" t="s">
        <v>12</v>
      </c>
      <c r="N14" s="15">
        <v>10</v>
      </c>
    </row>
    <row r="16" spans="12:16" x14ac:dyDescent="0.25">
      <c r="L16" s="38" t="s">
        <v>16</v>
      </c>
      <c r="M16" s="17" t="s">
        <v>13</v>
      </c>
      <c r="N16" s="18">
        <v>385</v>
      </c>
      <c r="O16" s="54" t="s">
        <v>35</v>
      </c>
      <c r="P16" s="54"/>
    </row>
    <row r="17" spans="12:16" x14ac:dyDescent="0.25">
      <c r="L17" s="39"/>
      <c r="M17" s="19" t="s">
        <v>14</v>
      </c>
      <c r="N17" s="18">
        <v>8920</v>
      </c>
      <c r="O17" s="54"/>
      <c r="P17" s="54"/>
    </row>
    <row r="18" spans="12:16" x14ac:dyDescent="0.25">
      <c r="L18" s="39"/>
      <c r="M18" s="19" t="s">
        <v>15</v>
      </c>
      <c r="N18" s="18">
        <v>402</v>
      </c>
    </row>
    <row r="19" spans="12:16" x14ac:dyDescent="0.25">
      <c r="L19" s="40"/>
      <c r="M19" s="19" t="s">
        <v>18</v>
      </c>
      <c r="N19" s="18">
        <v>1000</v>
      </c>
    </row>
    <row r="21" spans="12:16" x14ac:dyDescent="0.25">
      <c r="L21" s="43" t="s">
        <v>24</v>
      </c>
      <c r="M21" s="44" t="s">
        <v>25</v>
      </c>
      <c r="N21" s="45">
        <v>350</v>
      </c>
    </row>
    <row r="22" spans="12:16" x14ac:dyDescent="0.25">
      <c r="L22" s="43"/>
      <c r="M22" s="44" t="s">
        <v>26</v>
      </c>
      <c r="N22" s="45">
        <v>100</v>
      </c>
    </row>
    <row r="23" spans="12:16" x14ac:dyDescent="0.25">
      <c r="L23" s="52"/>
      <c r="M23" s="42"/>
      <c r="N23" s="53"/>
    </row>
    <row r="24" spans="12:16" x14ac:dyDescent="0.25">
      <c r="L24" s="53"/>
      <c r="M24" s="53"/>
      <c r="N24" s="53"/>
    </row>
    <row r="25" spans="12:16" x14ac:dyDescent="0.25">
      <c r="L25" s="52"/>
      <c r="M25" s="42"/>
      <c r="N25" s="53"/>
    </row>
    <row r="26" spans="12:16" x14ac:dyDescent="0.25">
      <c r="L26" s="52"/>
      <c r="M26" s="42"/>
      <c r="N26" s="53"/>
    </row>
    <row r="27" spans="12:16" x14ac:dyDescent="0.25">
      <c r="L27" s="52"/>
      <c r="M27" s="42"/>
      <c r="N27" s="53"/>
    </row>
  </sheetData>
  <mergeCells count="5">
    <mergeCell ref="O16:P17"/>
    <mergeCell ref="L3:L8"/>
    <mergeCell ref="L9:L14"/>
    <mergeCell ref="L16:L19"/>
    <mergeCell ref="L21:L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turn">
                <anchor moveWithCells="1">
                  <from>
                    <xdr:col>11</xdr:col>
                    <xdr:colOff>504825</xdr:colOff>
                    <xdr:row>25</xdr:row>
                    <xdr:rowOff>104775</xdr:rowOff>
                  </from>
                  <to>
                    <xdr:col>16</xdr:col>
                    <xdr:colOff>342900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Леонид</cp:lastModifiedBy>
  <dcterms:created xsi:type="dcterms:W3CDTF">2021-04-18T11:41:33Z</dcterms:created>
  <dcterms:modified xsi:type="dcterms:W3CDTF">2021-04-19T19:25:11Z</dcterms:modified>
</cp:coreProperties>
</file>